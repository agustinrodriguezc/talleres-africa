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ima/Downloads/"/>
    </mc:Choice>
  </mc:AlternateContent>
  <xr:revisionPtr revIDLastSave="0" documentId="13_ncr:1_{3ED1EFF5-13B6-E746-BB59-354110CF4CA0}" xr6:coauthVersionLast="47" xr6:coauthVersionMax="47" xr10:uidLastSave="{00000000-0000-0000-0000-000000000000}"/>
  <bookViews>
    <workbookView xWindow="0" yWindow="660" windowWidth="29400" windowHeight="16860" firstSheet="10" activeTab="16" xr2:uid="{00000000-000D-0000-FFFF-FFFF00000000}"/>
  </bookViews>
  <sheets>
    <sheet name="Customers" sheetId="2" r:id="rId1"/>
    <sheet name="Vehicles" sheetId="3" r:id="rId2"/>
    <sheet name="Employees" sheetId="4" r:id="rId3"/>
    <sheet name="Service_Categories" sheetId="5" r:id="rId4"/>
    <sheet name="Services" sheetId="6" r:id="rId5"/>
    <sheet name="Suppliers" sheetId="7" r:id="rId6"/>
    <sheet name="Products" sheetId="8" r:id="rId7"/>
    <sheet name="Work_Orders" sheetId="9" r:id="rId8"/>
    <sheet name="WO_Lines" sheetId="10" r:id="rId9"/>
    <sheet name="Sales_Invoices" sheetId="11" r:id="rId10"/>
    <sheet name="Purchase_Orders" sheetId="12" r:id="rId11"/>
    <sheet name="PO_Lines" sheetId="13" r:id="rId12"/>
    <sheet name="Purchase_Invoices" sheetId="14" r:id="rId13"/>
    <sheet name="Inventory_Movements" sheetId="15" r:id="rId14"/>
    <sheet name="Goods_Receipts" sheetId="16" r:id="rId15"/>
    <sheet name="Rework" sheetId="17" r:id="rId16"/>
    <sheet name="Insurance_Entities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6" l="1"/>
  <c r="H3" i="16"/>
  <c r="H4" i="16"/>
  <c r="H5" i="16"/>
  <c r="H6" i="16"/>
</calcChain>
</file>

<file path=xl/sharedStrings.xml><?xml version="1.0" encoding="utf-8"?>
<sst xmlns="http://schemas.openxmlformats.org/spreadsheetml/2006/main" count="874" uniqueCount="566">
  <si>
    <t>Individual</t>
  </si>
  <si>
    <t>52562320T</t>
  </si>
  <si>
    <t>Pedro</t>
  </si>
  <si>
    <t>Jiménez Barrios</t>
  </si>
  <si>
    <t>666 20 47 86</t>
  </si>
  <si>
    <t>pedro@gmail.com</t>
  </si>
  <si>
    <t>Av. América, 193</t>
  </si>
  <si>
    <t>Madrid</t>
  </si>
  <si>
    <t>Company</t>
  </si>
  <si>
    <t>A32456720</t>
  </si>
  <si>
    <t>Manolo</t>
  </si>
  <si>
    <t>García Toral</t>
  </si>
  <si>
    <t>Transportes García S.L.</t>
  </si>
  <si>
    <t>667 88 78 69</t>
  </si>
  <si>
    <t>manolo@transportesgarcia.es</t>
  </si>
  <si>
    <t>Camino de la Industria, 6</t>
  </si>
  <si>
    <t>San Sebastián de los Reyes</t>
  </si>
  <si>
    <t>78341205K</t>
  </si>
  <si>
    <t>Ana</t>
  </si>
  <si>
    <t>Martínez López</t>
  </si>
  <si>
    <t>612 34 56 78</t>
  </si>
  <si>
    <t>ana.martinez@hotmail.com</t>
  </si>
  <si>
    <t>C/ Colmenar, 45</t>
  </si>
  <si>
    <t>Alcobendas</t>
  </si>
  <si>
    <t>B87654321</t>
  </si>
  <si>
    <t>Jorge</t>
  </si>
  <si>
    <t>Ruiz Fernández</t>
  </si>
  <si>
    <t>Distribuciones Ruiz S.L.</t>
  </si>
  <si>
    <t>691 23 45 67</t>
  </si>
  <si>
    <t>jorge@distribuciones-ruiz.com</t>
  </si>
  <si>
    <t>Pol. Ind. Norte, nave 12</t>
  </si>
  <si>
    <t>34127896P</t>
  </si>
  <si>
    <t>Lucía</t>
  </si>
  <si>
    <t>Gómez Sanz</t>
  </si>
  <si>
    <t>677 89 01 23</t>
  </si>
  <si>
    <t>lucia.gomez@gmail.com</t>
  </si>
  <si>
    <t>C/ Real, 12</t>
  </si>
  <si>
    <t>Algete</t>
  </si>
  <si>
    <t>9218 MFC</t>
  </si>
  <si>
    <t>Car</t>
  </si>
  <si>
    <t>SEAT</t>
  </si>
  <si>
    <t>Ibiza</t>
  </si>
  <si>
    <t>A432G384JD8</t>
  </si>
  <si>
    <t>TO 9251 CJ</t>
  </si>
  <si>
    <t>Van</t>
  </si>
  <si>
    <t>Peugeot</t>
  </si>
  <si>
    <t>Partner</t>
  </si>
  <si>
    <t>DW10C</t>
  </si>
  <si>
    <t>M 2345 KLP</t>
  </si>
  <si>
    <t>4567 GKT</t>
  </si>
  <si>
    <t>Toyota</t>
  </si>
  <si>
    <t>Corolla</t>
  </si>
  <si>
    <t>2ZR-FXE</t>
  </si>
  <si>
    <t>8923 HBP</t>
  </si>
  <si>
    <t>Ford</t>
  </si>
  <si>
    <t>Transit</t>
  </si>
  <si>
    <t>EURO6</t>
  </si>
  <si>
    <t>6701 RCF</t>
  </si>
  <si>
    <t>Renault</t>
  </si>
  <si>
    <t>Clio</t>
  </si>
  <si>
    <t>H4D</t>
  </si>
  <si>
    <t>3312 VLM</t>
  </si>
  <si>
    <t>Motorbike</t>
  </si>
  <si>
    <t>Honda</t>
  </si>
  <si>
    <t>CB500F</t>
  </si>
  <si>
    <t>PC63E</t>
  </si>
  <si>
    <t>Negro</t>
  </si>
  <si>
    <t>David</t>
  </si>
  <si>
    <t>Pereira Sánchez</t>
  </si>
  <si>
    <t>david@talleresafrica.es</t>
  </si>
  <si>
    <t>91 652 XX XX</t>
  </si>
  <si>
    <t>Moisés</t>
  </si>
  <si>
    <t>moises@talleresafrica.es</t>
  </si>
  <si>
    <t>Carlos</t>
  </si>
  <si>
    <t>Rodríguez Blanco</t>
  </si>
  <si>
    <t>carlos@talleresafrica.es</t>
  </si>
  <si>
    <t>Miguel</t>
  </si>
  <si>
    <t>Torres Pérez</t>
  </si>
  <si>
    <t>Roberto</t>
  </si>
  <si>
    <t>Sanz Herrero</t>
  </si>
  <si>
    <t>Enrique</t>
  </si>
  <si>
    <t>Mora Castillo</t>
  </si>
  <si>
    <t>Javier</t>
  </si>
  <si>
    <t>López Nieto</t>
  </si>
  <si>
    <t>#2E75B6</t>
  </si>
  <si>
    <t>#7030A0</t>
  </si>
  <si>
    <t>#C55A11</t>
  </si>
  <si>
    <t>#FF0000</t>
  </si>
  <si>
    <t>#375623</t>
  </si>
  <si>
    <t>Multimedia</t>
  </si>
  <si>
    <t>#843C0C</t>
  </si>
  <si>
    <t>A78234561</t>
  </si>
  <si>
    <t>LKQ Spain S.A.</t>
  </si>
  <si>
    <t>91 345 67 89</t>
  </si>
  <si>
    <t>pedidos@lkqspain.es</t>
  </si>
  <si>
    <t>Pol. Ind. Vallecas, 45</t>
  </si>
  <si>
    <t>B23456789</t>
  </si>
  <si>
    <t>Desguaces La Torre S.L.</t>
  </si>
  <si>
    <t>Álvaro Martín</t>
  </si>
  <si>
    <t>666 88 77 35</t>
  </si>
  <si>
    <t>comercial@desguaceslatorre.com</t>
  </si>
  <si>
    <t>Av. Monforte de Lemos, 182</t>
  </si>
  <si>
    <t>A45678901</t>
  </si>
  <si>
    <t>91 456 78 90</t>
  </si>
  <si>
    <t>ventas@michelin.es</t>
  </si>
  <si>
    <t>C/ Josefa Valcárcel, 40</t>
  </si>
  <si>
    <t>B67890123</t>
  </si>
  <si>
    <t>Juan Herrero</t>
  </si>
  <si>
    <t>91 567 89 01</t>
  </si>
  <si>
    <t>info@tecnauto.es</t>
  </si>
  <si>
    <t>Pol. Norte, nave 7</t>
  </si>
  <si>
    <t>A89012345</t>
  </si>
  <si>
    <t>Kenwood-JVC España</t>
  </si>
  <si>
    <t>Multimedia / Electrónica</t>
  </si>
  <si>
    <t>91 678 90 12</t>
  </si>
  <si>
    <t>b2b@kenwood.es</t>
  </si>
  <si>
    <t>Av. Europa, 14</t>
  </si>
  <si>
    <t>NEU-195-65-15-M</t>
  </si>
  <si>
    <t>NEU-225-45-17-M</t>
  </si>
  <si>
    <t>FIL-ACE-UNIV</t>
  </si>
  <si>
    <t>FIL-AIR-SEAT-IB</t>
  </si>
  <si>
    <t>DIS-FRE-280-UNIV</t>
  </si>
  <si>
    <t>PAS-FRE-DEL-UNIV</t>
  </si>
  <si>
    <t>PIN-BLA-1L-GLA</t>
  </si>
  <si>
    <t>Pinturas</t>
  </si>
  <si>
    <t>APAR-EPOX-1L</t>
  </si>
  <si>
    <t>PAN-JVC-9-UNIV</t>
  </si>
  <si>
    <t>CAM-TRZ-170G</t>
  </si>
  <si>
    <t>ACE-5W30-4L</t>
  </si>
  <si>
    <t>Lubricantes</t>
  </si>
  <si>
    <t>Reposición quincenal</t>
  </si>
  <si>
    <t>OT-2026-001</t>
  </si>
  <si>
    <t>OT-2026-002</t>
  </si>
  <si>
    <t>OT-2026-003</t>
  </si>
  <si>
    <t>OT-2026-004</t>
  </si>
  <si>
    <t>OT-2026-005</t>
  </si>
  <si>
    <t>Material</t>
  </si>
  <si>
    <t>FAC-2026-001</t>
  </si>
  <si>
    <t>Cobrada</t>
  </si>
  <si>
    <t>Tarjeta</t>
  </si>
  <si>
    <t>Cobro en el momento de entrega</t>
  </si>
  <si>
    <t>FAC-2026-002</t>
  </si>
  <si>
    <t>Transferencia</t>
  </si>
  <si>
    <t>FAC-2026-003</t>
  </si>
  <si>
    <t>PO-2026-001</t>
  </si>
  <si>
    <t>PO-2026-002</t>
  </si>
  <si>
    <t>PO-2026-003</t>
  </si>
  <si>
    <t>PO-2026-004</t>
  </si>
  <si>
    <t>PINV-2026-001</t>
  </si>
  <si>
    <t>LKQ-2026-03421</t>
  </si>
  <si>
    <t>PMP real: 29 días</t>
  </si>
  <si>
    <t>PINV-2026-002</t>
  </si>
  <si>
    <t>MCH-2026-78234</t>
  </si>
  <si>
    <t>Vence 18/04. PMP pactado 45 días</t>
  </si>
  <si>
    <t>PINV-2026-003</t>
  </si>
  <si>
    <t>TEC-2026-1190</t>
  </si>
  <si>
    <t>PINV-2026-004</t>
  </si>
  <si>
    <t>KEN-2026-55012</t>
  </si>
  <si>
    <t>No</t>
  </si>
  <si>
    <t>Sí</t>
  </si>
  <si>
    <t>OK</t>
  </si>
  <si>
    <t>Cobro inmediato</t>
  </si>
  <si>
    <t>Seguimiento a 30 días</t>
  </si>
  <si>
    <t>Match</t>
  </si>
  <si>
    <t>Entrega prevista no recibida</t>
  </si>
  <si>
    <t>MOV-2026-001</t>
  </si>
  <si>
    <t>Salida_OT</t>
  </si>
  <si>
    <t>2x filtro aceite consumidos en OT</t>
  </si>
  <si>
    <t>MOV-2026-002</t>
  </si>
  <si>
    <t>Pastillas de freno usadas en OT</t>
  </si>
  <si>
    <t>MOV-2026-003</t>
  </si>
  <si>
    <t>4L aceite motor 5W30 usados en OT</t>
  </si>
  <si>
    <t>MOV-2026-004</t>
  </si>
  <si>
    <t>Entrada_PO</t>
  </si>
  <si>
    <t>MOV-2026-005</t>
  </si>
  <si>
    <t>MOV-2026-006</t>
  </si>
  <si>
    <t>MOV-2026-007</t>
  </si>
  <si>
    <t>MOV-2026-008</t>
  </si>
  <si>
    <t>MOV-2026-009</t>
  </si>
  <si>
    <t>Envase dañado — requiere evidencia</t>
  </si>
  <si>
    <t>Customer ID</t>
  </si>
  <si>
    <t>Type</t>
  </si>
  <si>
    <t>Tax ID</t>
  </si>
  <si>
    <t>First Name</t>
  </si>
  <si>
    <t>Last Name</t>
  </si>
  <si>
    <t>Company Name</t>
  </si>
  <si>
    <t>Phone</t>
  </si>
  <si>
    <t>Email</t>
  </si>
  <si>
    <t>Address</t>
  </si>
  <si>
    <t>City</t>
  </si>
  <si>
    <t>Postal Code</t>
  </si>
  <si>
    <t>Payment Terms Days</t>
  </si>
  <si>
    <t>Credit Limit EUR</t>
  </si>
  <si>
    <t>Notes</t>
  </si>
  <si>
    <t>Repeat customer since 2018</t>
  </si>
  <si>
    <t>Fleet of 4 vans. Payment in 60 days.</t>
  </si>
  <si>
    <t>VIP customer. Payment in 90 days. Review collection.</t>
  </si>
  <si>
    <t>Plate</t>
  </si>
  <si>
    <t>Vehicle Type</t>
  </si>
  <si>
    <t>Brand</t>
  </si>
  <si>
    <t>Model</t>
  </si>
  <si>
    <t>Year</t>
  </si>
  <si>
    <t>Fuel Type</t>
  </si>
  <si>
    <t>Engine Code</t>
  </si>
  <si>
    <t>Color</t>
  </si>
  <si>
    <t>KM Entry Current</t>
  </si>
  <si>
    <t>KM Last Service</t>
  </si>
  <si>
    <t>Gasoline</t>
  </si>
  <si>
    <t>Red</t>
  </si>
  <si>
    <t>Annual service scheduled</t>
  </si>
  <si>
    <t>Diesel</t>
  </si>
  <si>
    <t>White</t>
  </si>
  <si>
    <t>Transportes García fleet. Vehicle 1/4</t>
  </si>
  <si>
    <t>Transportes García fleet. Vehicle 2/4</t>
  </si>
  <si>
    <t>Hybrid</t>
  </si>
  <si>
    <t>Silver</t>
  </si>
  <si>
    <t>Distribuciones Ruiz fleet. Requires vehicle inspection</t>
  </si>
  <si>
    <t>Blue</t>
  </si>
  <si>
    <t>Employee ID</t>
  </si>
  <si>
    <t>Role</t>
  </si>
  <si>
    <t>Category ID</t>
  </si>
  <si>
    <t>Hire Date</t>
  </si>
  <si>
    <t>Cost Hour EUR</t>
  </si>
  <si>
    <t>Billing Rate EUR</t>
  </si>
  <si>
    <t>Active</t>
  </si>
  <si>
    <t>Administrator / Owner</t>
  </si>
  <si>
    <t>Joint administrator</t>
  </si>
  <si>
    <t>Administrator / Workshop Manager</t>
  </si>
  <si>
    <t>Certified Mechanic Grade 1</t>
  </si>
  <si>
    <t>Diesel engine specialist</t>
  </si>
  <si>
    <t>Mechanic / Electrician</t>
  </si>
  <si>
    <t>OBD electronic diagnostics</t>
  </si>
  <si>
    <t>Bodywork Technician</t>
  </si>
  <si>
    <t>Painter</t>
  </si>
  <si>
    <t>Multimedia / Tire Technician</t>
  </si>
  <si>
    <t>AV and GPS system installation</t>
  </si>
  <si>
    <t>Category Name</t>
  </si>
  <si>
    <t>Description</t>
  </si>
  <si>
    <t>Cost Rate EUR</t>
  </si>
  <si>
    <t>Color Code</t>
  </si>
  <si>
    <t>General Mechanics</t>
  </si>
  <si>
    <t>Preventive and corrective maintenance for engine, brakes, suspension, transmission</t>
  </si>
  <si>
    <t>Electrical / Diagnostics</t>
  </si>
  <si>
    <t>OBD electronic diagnostics, electrical systems repair, ECU</t>
  </si>
  <si>
    <t>Bodywork</t>
  </si>
  <si>
    <t>Straightening, body part replacement, surface preparation</t>
  </si>
  <si>
    <t>Paint</t>
  </si>
  <si>
    <t>Primer, booth painting, varnishing, polishing</t>
  </si>
  <si>
    <t>Tires</t>
  </si>
  <si>
    <t>Mounting, balancing, alignment, replacement</t>
  </si>
  <si>
    <t>Installation and setup of AV systems, GPS, cameras, sensors</t>
  </si>
  <si>
    <t>Service ID</t>
  </si>
  <si>
    <t>Service Name</t>
  </si>
  <si>
    <t>Standard Time H</t>
  </si>
  <si>
    <t>10,000 km Service</t>
  </si>
  <si>
    <t>Oil, filters, brakes, fluids, general service</t>
  </si>
  <si>
    <t>20,000 km Service</t>
  </si>
  <si>
    <t>Full service: timing, spark plugs, fluids</t>
  </si>
  <si>
    <t>Brake replacement (axle)</t>
  </si>
  <si>
    <t>Pads + discs on one axle</t>
  </si>
  <si>
    <t>Timing belt/chain replacement</t>
  </si>
  <si>
    <t>Belt/chain + tensioner + water pump</t>
  </si>
  <si>
    <t>High variability by model</t>
  </si>
  <si>
    <t>Clutch replacement</t>
  </si>
  <si>
    <t>Complete clutch kit</t>
  </si>
  <si>
    <t>Electronic diagnostics</t>
  </si>
  <si>
    <t>OBD error scan and clearing, technical report</t>
  </si>
  <si>
    <t>ECU programming</t>
  </si>
  <si>
    <t>Control module update/reprogramming</t>
  </si>
  <si>
    <t>Requires software license</t>
  </si>
  <si>
    <t>Electrical system repair</t>
  </si>
  <si>
    <t>Electrical fault location and repair</t>
  </si>
  <si>
    <t>High variability</t>
  </si>
  <si>
    <t>Minor impact repair</t>
  </si>
  <si>
    <t>Dent repair and small area preparation</t>
  </si>
  <si>
    <t>Fender/door replacement</t>
  </si>
  <si>
    <t>Removal, part replacement and paint preparation</t>
  </si>
  <si>
    <t>Major accident repair</t>
  </si>
  <si>
    <t>Frame straightening, multiple parts</t>
  </si>
  <si>
    <t>Requires detailed quote</t>
  </si>
  <si>
    <t>Panel painting</t>
  </si>
  <si>
    <t>One panel (door, fender, bumper)</t>
  </si>
  <si>
    <t>Full vehicle paint</t>
  </si>
  <si>
    <t>Full preparation and painting</t>
  </si>
  <si>
    <t>Wheel change</t>
  </si>
  <si>
    <t>Mounting and balancing one wheel</t>
  </si>
  <si>
    <t>Four-wheel change</t>
  </si>
  <si>
    <t>Mounting and balancing 4 wheels + alignment</t>
  </si>
  <si>
    <t>Alignment and geometry</t>
  </si>
  <si>
    <t>Steering geometry correction</t>
  </si>
  <si>
    <t>Screen/GPS installation</t>
  </si>
  <si>
    <t>Navigation/audio system installation and setup</t>
  </si>
  <si>
    <t>Rear camera installation</t>
  </si>
  <si>
    <t>Camera + wiring + screen integration</t>
  </si>
  <si>
    <t>Parking sensor installation</t>
  </si>
  <si>
    <t>4 rear sensors + control unit + buzzer</t>
  </si>
  <si>
    <t>Other</t>
  </si>
  <si>
    <t>Uncatalogued service. Price = hours × category rate</t>
  </si>
  <si>
    <t>Use with corresponding category</t>
  </si>
  <si>
    <t>Supplier ID</t>
  </si>
  <si>
    <t>CIF</t>
  </si>
  <si>
    <t>Category</t>
  </si>
  <si>
    <t>Contact Name</t>
  </si>
  <si>
    <t>Discount Pct</t>
  </si>
  <si>
    <t>Multi-brand spare parts</t>
  </si>
  <si>
    <t>North area sales representative</t>
  </si>
  <si>
    <t>Main supplier. Delivery 24–48h</t>
  </si>
  <si>
    <t>Used spare parts</t>
  </si>
  <si>
    <t>Used parts. Good bodywork pricing</t>
  </si>
  <si>
    <t>Michelin Spain S.A.</t>
  </si>
  <si>
    <t>Sales representative</t>
  </si>
  <si>
    <t>Payment in 45 days. Good margin on tires</t>
  </si>
  <si>
    <t>Tecnauto paint S.L.</t>
  </si>
  <si>
    <t>Paints and products</t>
  </si>
  <si>
    <t>Glasurit and Standox paint supplier</t>
  </si>
  <si>
    <t>Customer service</t>
  </si>
  <si>
    <t>Pedido mínimo 500€. Payment in 60 days</t>
  </si>
  <si>
    <t>Product ID</t>
  </si>
  <si>
    <t>SKU</t>
  </si>
  <si>
    <t>Product Name</t>
  </si>
  <si>
    <t>Cost Price EUR</t>
  </si>
  <si>
    <t>Sell Price EUR</t>
  </si>
  <si>
    <t>VAT Rate</t>
  </si>
  <si>
    <t>Stock Units</t>
  </si>
  <si>
    <t>Stock Min</t>
  </si>
  <si>
    <t>Stock Max</t>
  </si>
  <si>
    <t>Delivery Days</t>
  </si>
  <si>
    <t>Reorder Flag</t>
  </si>
  <si>
    <t>Stock Value EUR</t>
  </si>
  <si>
    <t>Gross Margin Pct</t>
  </si>
  <si>
    <t>Michelin Energy Saver tire 195/65 R15</t>
  </si>
  <si>
    <t>High turnover. Weekly replenishment</t>
  </si>
  <si>
    <t>Michelin Pilot Sport tire 225/45 R17</t>
  </si>
  <si>
    <t>Universal oil filter</t>
  </si>
  <si>
    <t>filters</t>
  </si>
  <si>
    <t>Compatible with 80% of workshop vehicles</t>
  </si>
  <si>
    <t>SEAT Ibiza 1.0 TSI air filter</t>
  </si>
  <si>
    <t>Front ventilated brake disc 280mm</t>
  </si>
  <si>
    <t>brakes</t>
  </si>
  <si>
    <t>Review reference by model</t>
  </si>
  <si>
    <t>Front ceramic brake pads</t>
  </si>
  <si>
    <t>Glasurit pearl white paint 1L</t>
  </si>
  <si>
    <t>Mix by color code in paint booth</t>
  </si>
  <si>
    <t>Epoxy primer 1L</t>
  </si>
  <si>
    <t>JVC KW-M560BT 9" navigation screen</t>
  </si>
  <si>
    <t>Installation + setup included</t>
  </si>
  <si>
    <t>Rear camera 170° night vision</t>
  </si>
  <si>
    <t>oil motor 5W30 Full Synthetic 4L</t>
  </si>
  <si>
    <t>LIQ-brakes-1L</t>
  </si>
  <si>
    <t>Líquido de brakes DOT 4 1L</t>
  </si>
  <si>
    <t>WO ID</t>
  </si>
  <si>
    <t>Status</t>
  </si>
  <si>
    <t>Open Date</t>
  </si>
  <si>
    <t>KM Entry</t>
  </si>
  <si>
    <t>Diagnosis</t>
  </si>
  <si>
    <t>Estimated Hours</t>
  </si>
  <si>
    <t>Close Date</t>
  </si>
  <si>
    <t>KM Exit</t>
  </si>
  <si>
    <t>Validated By</t>
  </si>
  <si>
    <t>Rework</t>
  </si>
  <si>
    <t>Approved By</t>
  </si>
  <si>
    <t>Approval Status</t>
  </si>
  <si>
    <t>Completion Delay Days</t>
  </si>
  <si>
    <t>Requires Follow Up</t>
  </si>
  <si>
    <t>Fraud Control Note</t>
  </si>
  <si>
    <t>Closed</t>
  </si>
  <si>
    <t>10,000 km service + front brake pad replacement</t>
  </si>
  <si>
    <t>Delivered same day. Customer satisfied</t>
  </si>
  <si>
    <t>Approved</t>
  </si>
  <si>
    <t>WO closed and validated</t>
  </si>
  <si>
    <t>Timing replacement + full 100,000 km service</t>
  </si>
  <si>
    <t>García fleet van. Authorized by email</t>
  </si>
  <si>
    <t>Yes</t>
  </si>
  <si>
    <t>Review delivery delay</t>
  </si>
  <si>
    <t>In_Progress</t>
  </si>
  <si>
    <t>Electrical fault: engine warning light on. Diagnostics in progress</t>
  </si>
  <si>
    <t>Pending</t>
  </si>
  <si>
    <t>Open diagnostics without closure</t>
  </si>
  <si>
    <t>Pending_Validation</t>
  </si>
  <si>
    <t>Side impact repair + right rear door painting</t>
  </si>
  <si>
    <t>Quote approved by email 16/03</t>
  </si>
  <si>
    <t>Pending validation before invoicing</t>
  </si>
  <si>
    <t>Open</t>
  </si>
  <si>
    <t>4 tire replacement + alignment</t>
  </si>
  <si>
    <t>WO open without final approval</t>
  </si>
  <si>
    <t>Line ID</t>
  </si>
  <si>
    <t>Line Type</t>
  </si>
  <si>
    <t>Quantity</t>
  </si>
  <si>
    <t>Hours Worked</t>
  </si>
  <si>
    <t>Unit Price EUR</t>
  </si>
  <si>
    <t>Line Total EUR</t>
  </si>
  <si>
    <t>Service</t>
  </si>
  <si>
    <t>10,000 km service — 1.5h actual vs 1.5h est.</t>
  </si>
  <si>
    <t>Front axle pad replacement</t>
  </si>
  <si>
    <t>20,000 km service</t>
  </si>
  <si>
    <t>Oil filter (10% fleet discount)</t>
  </si>
  <si>
    <t>Oil (10% fleet discount)</t>
  </si>
  <si>
    <t>Rear door painting</t>
  </si>
  <si>
    <t>Paint by color code</t>
  </si>
  <si>
    <t>Invoice ID</t>
  </si>
  <si>
    <t>Issue Date</t>
  </si>
  <si>
    <t>Due Date</t>
  </si>
  <si>
    <t>Subtotal EUR</t>
  </si>
  <si>
    <t>VAT Amount EUR</t>
  </si>
  <si>
    <t>Total EUR</t>
  </si>
  <si>
    <t>Payment Status</t>
  </si>
  <si>
    <t>Payment Date</t>
  </si>
  <si>
    <t>Payment Method</t>
  </si>
  <si>
    <t>Days Outstanding</t>
  </si>
  <si>
    <t>Issued By</t>
  </si>
  <si>
    <t>Invoice Exception Flag</t>
  </si>
  <si>
    <t>Collection Control Note</t>
  </si>
  <si>
    <t>Payment in 30 days. Due 04/04/2026</t>
  </si>
  <si>
    <t>Review collection</t>
  </si>
  <si>
    <t>Not_Issued</t>
  </si>
  <si>
    <t>Pending WO closure. In progress.</t>
  </si>
  <si>
    <t>WO pending closure/invoicing</t>
  </si>
  <si>
    <t>Purchase orders to suppliers. Status: Draft → Sent → Partially_Received → Received_Complete → Cancelled. Separate from Purchase_Invoices, which is the fiscal document.</t>
  </si>
  <si>
    <t>PO ID</t>
  </si>
  <si>
    <t>Order Date</t>
  </si>
  <si>
    <t>Expected Delivery</t>
  </si>
  <si>
    <t>Actual Delivery</t>
  </si>
  <si>
    <t>Three Way Match Status</t>
  </si>
  <si>
    <t>Purchase Exception Flag</t>
  </si>
  <si>
    <t>Control Note</t>
  </si>
  <si>
    <t>Received_Complete</t>
  </si>
  <si>
    <t>PO, receipt and invoice match</t>
  </si>
  <si>
    <t>Seasonal tire stock replenishment</t>
  </si>
  <si>
    <t>Sent</t>
  </si>
  <si>
    <t>Paints and primers. Pending receipt</t>
  </si>
  <si>
    <t>Pending receipt</t>
  </si>
  <si>
    <t>Review</t>
  </si>
  <si>
    <t>Do not record invoice until received</t>
  </si>
  <si>
    <t>PO Line ID</t>
  </si>
  <si>
    <t>Ordered Qty</t>
  </si>
  <si>
    <t>Received Qty</t>
  </si>
  <si>
    <t>Unit Cost EUR</t>
  </si>
  <si>
    <t>Tires 195/65 R15</t>
  </si>
  <si>
    <t>Tires 225/45 R17</t>
  </si>
  <si>
    <t>Pearl white paint — pending</t>
  </si>
  <si>
    <t>Epoxy primer — pending</t>
  </si>
  <si>
    <t>JVC screens — pending</t>
  </si>
  <si>
    <t>Rear cameras — pending</t>
  </si>
  <si>
    <t>Pinv ID</t>
  </si>
  <si>
    <t>Supplier Inv Number</t>
  </si>
  <si>
    <t>Matched PO</t>
  </si>
  <si>
    <t>Duplicate Check</t>
  </si>
  <si>
    <t>Payment Exception Flag</t>
  </si>
  <si>
    <t>Paid</t>
  </si>
  <si>
    <t>Not_Received</t>
  </si>
  <si>
    <t>Pending goods receipt</t>
  </si>
  <si>
    <t>Movement ID</t>
  </si>
  <si>
    <t>Movement Date</t>
  </si>
  <si>
    <t>Movement Type</t>
  </si>
  <si>
    <t>Quantity Change</t>
  </si>
  <si>
    <t>Movement Value EUR</t>
  </si>
  <si>
    <t>Related WO ID</t>
  </si>
  <si>
    <t>Related PO ID</t>
  </si>
  <si>
    <t>Reason</t>
  </si>
  <si>
    <t>Monthly LKQ order receipt</t>
  </si>
  <si>
    <t>Michelin tire receipt</t>
  </si>
  <si>
    <t>Epoxy primer used in repair</t>
  </si>
  <si>
    <t>Adjustment</t>
  </si>
  <si>
    <t>Inventory adjustment without approval — investigate</t>
  </si>
  <si>
    <t>Shrinkage</t>
  </si>
  <si>
    <t>TRUE</t>
  </si>
  <si>
    <t>FALSE</t>
  </si>
  <si>
    <t>2x oil filter</t>
  </si>
  <si>
    <t>Brake pads</t>
  </si>
  <si>
    <t>4L 5W30 oil</t>
  </si>
  <si>
    <t>Timing replacement — 4.5h actual vs 4h est.</t>
  </si>
  <si>
    <t>Side impact bodywork</t>
  </si>
  <si>
    <t>Epoxy primer</t>
  </si>
  <si>
    <t>Oil filters</t>
  </si>
  <si>
    <t>Brake discs</t>
  </si>
  <si>
    <t>5W30 oil</t>
  </si>
  <si>
    <t>Monthly spare parts order. LKQ</t>
  </si>
  <si>
    <t>JVC screens and cameras for stock</t>
  </si>
  <si>
    <t>Receipt ID</t>
  </si>
  <si>
    <t>Receipt Date</t>
  </si>
  <si>
    <t>Quantity Received</t>
  </si>
  <si>
    <t>Total Cost EUR</t>
  </si>
  <si>
    <t>Received By</t>
  </si>
  <si>
    <t>Warehouse Location</t>
  </si>
  <si>
    <t>Rework ID</t>
  </si>
  <si>
    <t>Original WO ID</t>
  </si>
  <si>
    <t>Vehicle Plate</t>
  </si>
  <si>
    <t>Root Cause</t>
  </si>
  <si>
    <t>Responsible Employee ID</t>
  </si>
  <si>
    <t>Labor Hours</t>
  </si>
  <si>
    <t>Parts Cost EUR</t>
  </si>
  <si>
    <t>Warranty Covered</t>
  </si>
  <si>
    <t>Insurance Entity ID</t>
  </si>
  <si>
    <t>Entity Name</t>
  </si>
  <si>
    <t>Country</t>
  </si>
  <si>
    <t>Claims Email</t>
  </si>
  <si>
    <t>REC-2026-001</t>
  </si>
  <si>
    <t>Main Stockroom</t>
  </si>
  <si>
    <t>Received</t>
  </si>
  <si>
    <t>Oil filters received against PO-2026-001</t>
  </si>
  <si>
    <t>REC-2026-002</t>
  </si>
  <si>
    <t>Brake discs received against PO-2026-001</t>
  </si>
  <si>
    <t>REC-2026-003</t>
  </si>
  <si>
    <t>Tire Rack A</t>
  </si>
  <si>
    <t>195/65 R15 tire stock replenishment</t>
  </si>
  <si>
    <t>REC-2026-004</t>
  </si>
  <si>
    <t>Paint Booth</t>
  </si>
  <si>
    <t>Pending QC</t>
  </si>
  <si>
    <t>Pearl white paint pending quality check</t>
  </si>
  <si>
    <t>REC-2026-005</t>
  </si>
  <si>
    <t>Electronics Cabinet</t>
  </si>
  <si>
    <t>Partially Received</t>
  </si>
  <si>
    <t>Screens received; cameras still pending</t>
  </si>
  <si>
    <t>RW-2026-001</t>
  </si>
  <si>
    <t>Noise after timing replacement</t>
  </si>
  <si>
    <t>Timing belt tensioner adjustment required</t>
  </si>
  <si>
    <t>Completed under workshop warranty</t>
  </si>
  <si>
    <t>RW-2026-002</t>
  </si>
  <si>
    <t>Paint shade mismatch</t>
  </si>
  <si>
    <t>Blend area needed additional correction</t>
  </si>
  <si>
    <t>Primer consumed during correction</t>
  </si>
  <si>
    <t>RW-2026-003</t>
  </si>
  <si>
    <t>Electrical warning light returned</t>
  </si>
  <si>
    <t>Connector not fully seated after diagnostics</t>
  </si>
  <si>
    <t>Customer scheduled follow-up visit</t>
  </si>
  <si>
    <t>RW-2026-004</t>
  </si>
  <si>
    <t>Wheel alignment drift</t>
  </si>
  <si>
    <t>Steering wheel centering adjustment</t>
  </si>
  <si>
    <t>Customer-requested adjustment after tire change</t>
  </si>
  <si>
    <t>INS-001</t>
  </si>
  <si>
    <t>Iberia Seguros Auto</t>
  </si>
  <si>
    <t>A28000001</t>
  </si>
  <si>
    <t>Laura Martín</t>
  </si>
  <si>
    <t>900 111 222</t>
  </si>
  <si>
    <t>autos@iberiaseguros.example</t>
  </si>
  <si>
    <t>Paseo de la Castellana 120</t>
  </si>
  <si>
    <t>Spain</t>
  </si>
  <si>
    <t>claims@iberiaseguros.example</t>
  </si>
  <si>
    <t>Preferred insurer for fleet claims</t>
  </si>
  <si>
    <t>INS-002</t>
  </si>
  <si>
    <t>Mutua Taller Partner</t>
  </si>
  <si>
    <t>G28000002</t>
  </si>
  <si>
    <t>Carlos Vega</t>
  </si>
  <si>
    <t>900 222 333</t>
  </si>
  <si>
    <t>talleres@mutuapartner.example</t>
  </si>
  <si>
    <t>C/ Alcalá 55</t>
  </si>
  <si>
    <t>siniestros@mutuapartner.example</t>
  </si>
  <si>
    <t>Fast authorization channel</t>
  </si>
  <si>
    <t>INS-003</t>
  </si>
  <si>
    <t>Hispania Fleet Claims</t>
  </si>
  <si>
    <t>B28000003</t>
  </si>
  <si>
    <t>Marta Ruiz</t>
  </si>
  <si>
    <t>900 333 444</t>
  </si>
  <si>
    <t>fleet@hispaniaclaims.example</t>
  </si>
  <si>
    <t>Av. Europa 15</t>
  </si>
  <si>
    <t>claims@hispaniaclaims.example</t>
  </si>
  <si>
    <t>Fleet customer insurer</t>
  </si>
  <si>
    <t>INS-004</t>
  </si>
  <si>
    <t>Norte Assistance Auto</t>
  </si>
  <si>
    <t>B28000004</t>
  </si>
  <si>
    <t>Diego Santos</t>
  </si>
  <si>
    <t>900 444 555</t>
  </si>
  <si>
    <t>repair@northassist.example</t>
  </si>
  <si>
    <t>Pol. Ind. Norte 8</t>
  </si>
  <si>
    <t>claims@northassist.example</t>
  </si>
  <si>
    <t>Inactive sample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</si>
</sst>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€#,##0.00"/>
    <numFmt numFmtId="166" formatCode="0.0"/>
  </numFmts>
  <fonts count="6" x14ac:knownFonts="1">
    <font>
      <sz val="11"/>
      <color theme="1"/>
      <name val="Calibri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1F1F1F"/>
      <name val="Calibri"/>
      <family val="2"/>
    </font>
    <font>
      <sz val="10"/>
      <color rgb="FF1F1F1F"/>
      <name val="Calibri"/>
      <family val="2"/>
    </font>
    <font>
      <b/>
      <i/>
      <sz val="10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E7E6E6"/>
      </right>
      <top style="thick">
        <color rgb="FFD9E2F3"/>
      </top>
      <bottom style="thick">
        <color rgb="FFD9E2F3"/>
      </bottom>
      <diagonal/>
    </border>
    <border>
      <left style="thin">
        <color rgb="FFE7E6E6"/>
      </left>
      <right style="thin">
        <color rgb="FFE7E6E6"/>
      </right>
      <top style="thick">
        <color rgb="FFD9E2F3"/>
      </top>
      <bottom style="thick">
        <color rgb="FFD9E2F3"/>
      </bottom>
      <diagonal/>
    </border>
    <border>
      <left style="thin">
        <color rgb="FFE7E6E6"/>
      </left>
      <right style="thin">
        <color rgb="FFBFBFBF"/>
      </right>
      <top style="thick">
        <color rgb="FFD9E2F3"/>
      </top>
      <bottom style="thick">
        <color rgb="FFD9E2F3"/>
      </bottom>
      <diagonal/>
    </border>
    <border>
      <left style="thin">
        <color rgb="FFBFBFBF"/>
      </left>
      <right style="thin">
        <color rgb="FFE7E6E6"/>
      </right>
      <top style="thick">
        <color rgb="FFD9E2F3"/>
      </top>
      <bottom style="thin">
        <color rgb="FFA6A6A6"/>
      </bottom>
      <diagonal/>
    </border>
    <border>
      <left style="thin">
        <color rgb="FFE7E6E6"/>
      </left>
      <right style="thin">
        <color rgb="FFE7E6E6"/>
      </right>
      <top style="thick">
        <color rgb="FFD9E2F3"/>
      </top>
      <bottom style="thin">
        <color rgb="FFA6A6A6"/>
      </bottom>
      <diagonal/>
    </border>
    <border>
      <left style="thin">
        <color rgb="FFE7E6E6"/>
      </left>
      <right style="thin">
        <color rgb="FFBFBFBF"/>
      </right>
      <top style="thick">
        <color rgb="FFD9E2F3"/>
      </top>
      <bottom style="thin">
        <color rgb="FFA6A6A6"/>
      </bottom>
      <diagonal/>
    </border>
    <border>
      <left style="thin">
        <color rgb="FFBFBFBF"/>
      </left>
      <right style="thin">
        <color rgb="FFE7E6E6"/>
      </right>
      <top style="thin">
        <color rgb="FFBFBFBF"/>
      </top>
      <bottom style="thick">
        <color rgb="FFD9E2F3"/>
      </bottom>
      <diagonal/>
    </border>
    <border>
      <left style="thin">
        <color rgb="FFE7E6E6"/>
      </left>
      <right style="thin">
        <color rgb="FFE7E6E6"/>
      </right>
      <top style="thin">
        <color rgb="FFBFBFBF"/>
      </top>
      <bottom style="thick">
        <color rgb="FFD9E2F3"/>
      </bottom>
      <diagonal/>
    </border>
    <border>
      <left style="thin">
        <color rgb="FFE7E6E6"/>
      </left>
      <right style="thin">
        <color rgb="FFBFBFBF"/>
      </right>
      <top style="thin">
        <color rgb="FFBFBFBF"/>
      </top>
      <bottom style="thick">
        <color rgb="FFD9E2F3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164" fontId="4" fillId="2" borderId="3" xfId="0" applyNumberFormat="1" applyFont="1" applyFill="1" applyBorder="1" applyAlignment="1">
      <alignment vertical="center" wrapText="1"/>
    </xf>
    <xf numFmtId="164" fontId="4" fillId="2" borderId="6" xfId="0" applyNumberFormat="1" applyFont="1" applyFill="1" applyBorder="1" applyAlignment="1">
      <alignment vertical="center" wrapText="1"/>
    </xf>
    <xf numFmtId="165" fontId="4" fillId="2" borderId="3" xfId="0" applyNumberFormat="1" applyFont="1" applyFill="1" applyBorder="1" applyAlignment="1">
      <alignment vertical="center" wrapText="1"/>
    </xf>
    <xf numFmtId="165" fontId="4" fillId="2" borderId="6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wrapText="1"/>
    </xf>
    <xf numFmtId="14" fontId="4" fillId="2" borderId="0" xfId="0" applyNumberFormat="1" applyFont="1" applyFill="1" applyAlignment="1">
      <alignment wrapText="1"/>
    </xf>
    <xf numFmtId="165" fontId="4" fillId="2" borderId="0" xfId="0" applyNumberFormat="1" applyFont="1" applyFill="1" applyAlignment="1">
      <alignment wrapText="1"/>
    </xf>
    <xf numFmtId="0" fontId="5" fillId="4" borderId="0" xfId="0" applyFont="1" applyFill="1" applyAlignment="1">
      <alignment horizontal="center" vertical="center" wrapText="1"/>
    </xf>
    <xf numFmtId="0" fontId="1" fillId="3" borderId="11" xfId="0" applyNumberFormat="1" applyFont="1" applyFill="1" applyBorder="1" applyAlignment="1">
      <alignment horizontal="center"/>
    </xf>
    <xf numFmtId="0" fontId="0" fillId="0" borderId="12" xfId="0" applyBorder="1"/>
    <xf numFmtId="164" fontId="0" fillId="0" borderId="12" xfId="0" applyNumberFormat="1" applyBorder="1"/>
    <xf numFmtId="165" fontId="0" fillId="0" borderId="12" xfId="0" applyNumberFormat="1" applyBorder="1"/>
    <xf numFmtId="0" fontId="0" fillId="0" borderId="13" xfId="0" applyBorder="1"/>
    <xf numFmtId="164" fontId="0" fillId="0" borderId="13" xfId="0" applyNumberFormat="1" applyBorder="1"/>
    <xf numFmtId="165" fontId="0" fillId="0" borderId="13" xfId="0" applyNumberFormat="1" applyBorder="1"/>
    <xf numFmtId="0" fontId="1" fillId="3" borderId="0" xfId="0" applyNumberFormat="1" applyFont="1" applyFill="1" applyBorder="1" applyAlignment="1">
      <alignment horizontal="center"/>
    </xf>
    <xf numFmtId="0" fontId="0" fillId="0" borderId="14" xfId="0" applyBorder="1"/>
    <xf numFmtId="164" fontId="0" fillId="0" borderId="14" xfId="0" applyNumberFormat="1" applyBorder="1"/>
    <xf numFmtId="165" fontId="0" fillId="0" borderId="14" xfId="0" applyNumberFormat="1" applyBorder="1"/>
    <xf numFmtId="166" fontId="0" fillId="0" borderId="14" xfId="0" applyNumberFormat="1" applyBorder="1"/>
    <xf numFmtId="166" fontId="0" fillId="0" borderId="13" xfId="0" applyNumberFormat="1" applyBorder="1"/>
    <xf numFmtId="1" fontId="0" fillId="0" borderId="14" xfId="0" applyNumberFormat="1" applyBorder="1"/>
    <xf numFmtId="1" fontId="0" fillId="0" borderId="13" xfId="0" applyNumberFormat="1" applyBorder="1"/>
  </cellXfs>
  <cellStyles count="1">
    <cellStyle name="Normal" xfId="0" builtinId="0"/>
  </cellStyles>
  <dxfs count="20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sz val="10"/>
        <color rgb="FF1F1F1F"/>
        <name val="Calibri"/>
      </font>
      <fill>
        <patternFill patternType="solid">
          <fgColor indexed="64"/>
          <bgColor rgb="FFFFFFFF"/>
        </patternFill>
      </fill>
    </dxf>
    <dxf>
      <font>
        <b/>
        <sz val="10"/>
        <color rgb="FFFFFFFF"/>
        <name val="Calibri"/>
      </font>
      <fill>
        <patternFill patternType="solid">
          <fgColor indexed="64"/>
          <bgColor rgb="FF1D2330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MovementsTable" displayName="InventoryMovementsTable" ref="A1:L10" headerRowDxfId="19" dataDxfId="18" totalsRowDxfId="17">
  <tableColumns count="12">
    <tableColumn id="1" xr3:uid="{00000000-0010-0000-0000-000001000000}" name="Movement ID" dataDxfId="16"/>
    <tableColumn id="2" xr3:uid="{00000000-0010-0000-0000-000002000000}" name="Movement Date" dataDxfId="15"/>
    <tableColumn id="3" xr3:uid="{00000000-0010-0000-0000-000003000000}" name="Product ID" dataDxfId="14"/>
    <tableColumn id="4" xr3:uid="{00000000-0010-0000-0000-000004000000}" name="Movement Type" dataDxfId="13"/>
    <tableColumn id="5" xr3:uid="{00000000-0010-0000-0000-000005000000}" name="Quantity Change" dataDxfId="12"/>
    <tableColumn id="6" xr3:uid="{00000000-0010-0000-0000-000006000000}" name="Unit Cost EUR" dataDxfId="11"/>
    <tableColumn id="7" xr3:uid="{00000000-0010-0000-0000-000007000000}" name="Movement Value EUR" dataDxfId="10"/>
    <tableColumn id="8" xr3:uid="{00000000-0010-0000-0000-000008000000}" name="Related WO ID" dataDxfId="9"/>
    <tableColumn id="9" xr3:uid="{00000000-0010-0000-0000-000009000000}" name="Related PO ID" dataDxfId="8"/>
    <tableColumn id="10" xr3:uid="{00000000-0010-0000-0000-00000A000000}" name="Employee ID" dataDxfId="7"/>
    <tableColumn id="11" xr3:uid="{00000000-0010-0000-0000-00000B000000}" name="Approved By" dataDxfId="6"/>
    <tableColumn id="12" xr3:uid="{00000000-0010-0000-0000-00000C000000}" name="Reaso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CA3278-623C-3943-A711-7D429BF57621}">
  <we:reference id="wa200010215" version="1.0.0.0" store="es-E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showGridLines="0" workbookViewId="0">
      <selection activeCell="M7" sqref="M7"/>
    </sheetView>
  </sheetViews>
  <sheetFormatPr baseColWidth="10" defaultColWidth="9.1640625" defaultRowHeight="15" x14ac:dyDescent="0.2"/>
  <cols>
    <col min="1" max="1" width="9.5" bestFit="1" customWidth="1"/>
    <col min="2" max="2" width="7.6640625" bestFit="1" customWidth="1"/>
    <col min="3" max="3" width="8.83203125" bestFit="1" customWidth="1"/>
    <col min="4" max="4" width="8.6640625" bestFit="1" customWidth="1"/>
    <col min="5" max="5" width="11.83203125" bestFit="1" customWidth="1"/>
    <col min="6" max="6" width="16.83203125" bestFit="1" customWidth="1"/>
    <col min="7" max="7" width="9.6640625" bestFit="1" customWidth="1"/>
    <col min="8" max="8" width="21.5" bestFit="1" customWidth="1"/>
    <col min="9" max="9" width="17.5" bestFit="1" customWidth="1"/>
    <col min="10" max="10" width="19.33203125" bestFit="1" customWidth="1"/>
    <col min="11" max="11" width="8.83203125" bestFit="1" customWidth="1"/>
    <col min="12" max="12" width="15.5" bestFit="1" customWidth="1"/>
    <col min="13" max="13" width="12" bestFit="1" customWidth="1"/>
    <col min="14" max="14" width="37.33203125" bestFit="1" customWidth="1"/>
  </cols>
  <sheetData>
    <row r="1" spans="1:14" s="4" customFormat="1" ht="16" thickBot="1" x14ac:dyDescent="0.25">
      <c r="A1" s="13" t="s">
        <v>180</v>
      </c>
      <c r="B1" s="14" t="s">
        <v>181</v>
      </c>
      <c r="C1" s="14" t="s">
        <v>182</v>
      </c>
      <c r="D1" s="14" t="s">
        <v>183</v>
      </c>
      <c r="E1" s="14" t="s">
        <v>184</v>
      </c>
      <c r="F1" s="14" t="s">
        <v>185</v>
      </c>
      <c r="G1" s="14" t="s">
        <v>186</v>
      </c>
      <c r="H1" s="14" t="s">
        <v>187</v>
      </c>
      <c r="I1" s="14" t="s">
        <v>188</v>
      </c>
      <c r="J1" s="14" t="s">
        <v>189</v>
      </c>
      <c r="K1" s="14" t="s">
        <v>190</v>
      </c>
      <c r="L1" s="14" t="s">
        <v>191</v>
      </c>
      <c r="M1" s="14" t="s">
        <v>192</v>
      </c>
      <c r="N1" s="15" t="s">
        <v>193</v>
      </c>
    </row>
    <row r="2" spans="1:14" ht="17" thickTop="1" thickBot="1" x14ac:dyDescent="0.25">
      <c r="A2" s="7">
        <v>1</v>
      </c>
      <c r="B2" s="8" t="s">
        <v>0</v>
      </c>
      <c r="C2" s="8" t="s">
        <v>1</v>
      </c>
      <c r="D2" s="8" t="s">
        <v>2</v>
      </c>
      <c r="E2" s="8" t="s">
        <v>3</v>
      </c>
      <c r="F2" s="8"/>
      <c r="G2" s="8" t="s">
        <v>4</v>
      </c>
      <c r="H2" s="8" t="s">
        <v>5</v>
      </c>
      <c r="I2" s="8" t="s">
        <v>6</v>
      </c>
      <c r="J2" s="8" t="s">
        <v>7</v>
      </c>
      <c r="K2" s="8">
        <v>28056</v>
      </c>
      <c r="L2" s="8">
        <v>0</v>
      </c>
      <c r="M2" s="8">
        <v>0</v>
      </c>
      <c r="N2" s="9" t="s">
        <v>194</v>
      </c>
    </row>
    <row r="3" spans="1:14" ht="17" thickTop="1" thickBot="1" x14ac:dyDescent="0.25">
      <c r="A3" s="7">
        <v>2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8" t="s">
        <v>16</v>
      </c>
      <c r="K3" s="8">
        <v>28710</v>
      </c>
      <c r="L3" s="8">
        <v>60</v>
      </c>
      <c r="M3" s="8">
        <v>5000</v>
      </c>
      <c r="N3" s="9" t="s">
        <v>195</v>
      </c>
    </row>
    <row r="4" spans="1:14" ht="17" thickTop="1" thickBot="1" x14ac:dyDescent="0.25">
      <c r="A4" s="7">
        <v>3</v>
      </c>
      <c r="B4" s="8" t="s">
        <v>0</v>
      </c>
      <c r="C4" s="8" t="s">
        <v>17</v>
      </c>
      <c r="D4" s="8" t="s">
        <v>18</v>
      </c>
      <c r="E4" s="8" t="s">
        <v>19</v>
      </c>
      <c r="F4" s="8"/>
      <c r="G4" s="8" t="s">
        <v>20</v>
      </c>
      <c r="H4" s="8" t="s">
        <v>21</v>
      </c>
      <c r="I4" s="8" t="s">
        <v>22</v>
      </c>
      <c r="J4" s="8" t="s">
        <v>23</v>
      </c>
      <c r="K4" s="8">
        <v>28100</v>
      </c>
      <c r="L4" s="8">
        <v>0</v>
      </c>
      <c r="M4" s="8">
        <v>0</v>
      </c>
      <c r="N4" s="9"/>
    </row>
    <row r="5" spans="1:14" ht="17" thickTop="1" thickBot="1" x14ac:dyDescent="0.25">
      <c r="A5" s="7">
        <v>4</v>
      </c>
      <c r="B5" s="8" t="s">
        <v>8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8" t="s">
        <v>30</v>
      </c>
      <c r="J5" s="8" t="s">
        <v>16</v>
      </c>
      <c r="K5" s="8">
        <v>28710</v>
      </c>
      <c r="L5" s="8">
        <v>90</v>
      </c>
      <c r="M5" s="8">
        <v>8000</v>
      </c>
      <c r="N5" s="9" t="s">
        <v>196</v>
      </c>
    </row>
    <row r="6" spans="1:14" ht="16" thickTop="1" x14ac:dyDescent="0.2">
      <c r="A6" s="10">
        <v>5</v>
      </c>
      <c r="B6" s="11" t="s">
        <v>0</v>
      </c>
      <c r="C6" s="11" t="s">
        <v>31</v>
      </c>
      <c r="D6" s="11" t="s">
        <v>32</v>
      </c>
      <c r="E6" s="11" t="s">
        <v>33</v>
      </c>
      <c r="F6" s="11"/>
      <c r="G6" s="11" t="s">
        <v>34</v>
      </c>
      <c r="H6" s="11" t="s">
        <v>35</v>
      </c>
      <c r="I6" s="11" t="s">
        <v>36</v>
      </c>
      <c r="J6" s="11" t="s">
        <v>37</v>
      </c>
      <c r="K6" s="11">
        <v>28110</v>
      </c>
      <c r="L6" s="11">
        <v>0</v>
      </c>
      <c r="M6" s="11">
        <v>0</v>
      </c>
      <c r="N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showGridLines="0" workbookViewId="0">
      <selection activeCell="F5" sqref="F5"/>
    </sheetView>
  </sheetViews>
  <sheetFormatPr baseColWidth="10" defaultColWidth="9.1640625" defaultRowHeight="15" x14ac:dyDescent="0.2"/>
  <cols>
    <col min="1" max="1" width="9" bestFit="1" customWidth="1"/>
    <col min="2" max="2" width="9.5" bestFit="1" customWidth="1"/>
    <col min="3" max="3" width="9.6640625" bestFit="1" customWidth="1"/>
    <col min="4" max="4" width="6.6640625" bestFit="1" customWidth="1"/>
    <col min="5" max="5" width="6.1640625" bestFit="1" customWidth="1"/>
    <col min="6" max="6" width="4.5" bestFit="1" customWidth="1"/>
    <col min="7" max="7" width="7.6640625" bestFit="1" customWidth="1"/>
    <col min="8" max="8" width="10.5" bestFit="1" customWidth="1"/>
    <col min="9" max="9" width="5.1640625" bestFit="1" customWidth="1"/>
    <col min="10" max="10" width="13" bestFit="1" customWidth="1"/>
    <col min="11" max="11" width="11.83203125" bestFit="1" customWidth="1"/>
    <col min="12" max="12" width="35.83203125" bestFit="1" customWidth="1"/>
  </cols>
  <sheetData>
    <row r="1" spans="1:12" s="4" customFormat="1" ht="16" thickBot="1" x14ac:dyDescent="0.25">
      <c r="A1" s="13" t="s">
        <v>197</v>
      </c>
      <c r="B1" s="14" t="s">
        <v>180</v>
      </c>
      <c r="C1" s="14" t="s">
        <v>198</v>
      </c>
      <c r="D1" s="14" t="s">
        <v>199</v>
      </c>
      <c r="E1" s="14" t="s">
        <v>200</v>
      </c>
      <c r="F1" s="14" t="s">
        <v>201</v>
      </c>
      <c r="G1" s="14" t="s">
        <v>202</v>
      </c>
      <c r="H1" s="14" t="s">
        <v>203</v>
      </c>
      <c r="I1" s="14" t="s">
        <v>204</v>
      </c>
      <c r="J1" s="14" t="s">
        <v>205</v>
      </c>
      <c r="K1" s="14" t="s">
        <v>206</v>
      </c>
      <c r="L1" s="15" t="s">
        <v>193</v>
      </c>
    </row>
    <row r="2" spans="1:12" ht="17" thickTop="1" thickBot="1" x14ac:dyDescent="0.25">
      <c r="A2" s="7" t="s">
        <v>38</v>
      </c>
      <c r="B2" s="8">
        <v>1</v>
      </c>
      <c r="C2" s="8" t="s">
        <v>39</v>
      </c>
      <c r="D2" s="8" t="s">
        <v>40</v>
      </c>
      <c r="E2" s="8" t="s">
        <v>41</v>
      </c>
      <c r="F2" s="8">
        <v>2023</v>
      </c>
      <c r="G2" s="8" t="s">
        <v>207</v>
      </c>
      <c r="H2" s="8" t="s">
        <v>42</v>
      </c>
      <c r="I2" s="8" t="s">
        <v>208</v>
      </c>
      <c r="J2" s="8">
        <v>45200</v>
      </c>
      <c r="K2" s="8">
        <v>44800</v>
      </c>
      <c r="L2" s="9" t="s">
        <v>209</v>
      </c>
    </row>
    <row r="3" spans="1:12" ht="17" thickTop="1" thickBot="1" x14ac:dyDescent="0.25">
      <c r="A3" s="7" t="s">
        <v>43</v>
      </c>
      <c r="B3" s="8">
        <v>2</v>
      </c>
      <c r="C3" s="8" t="s">
        <v>44</v>
      </c>
      <c r="D3" s="8" t="s">
        <v>45</v>
      </c>
      <c r="E3" s="8" t="s">
        <v>46</v>
      </c>
      <c r="F3" s="8">
        <v>1998</v>
      </c>
      <c r="G3" s="8" t="s">
        <v>210</v>
      </c>
      <c r="H3" s="8" t="s">
        <v>47</v>
      </c>
      <c r="I3" s="8" t="s">
        <v>211</v>
      </c>
      <c r="J3" s="8">
        <v>187400</v>
      </c>
      <c r="K3" s="8">
        <v>185000</v>
      </c>
      <c r="L3" s="9" t="s">
        <v>212</v>
      </c>
    </row>
    <row r="4" spans="1:12" ht="17" thickTop="1" thickBot="1" x14ac:dyDescent="0.25">
      <c r="A4" s="7" t="s">
        <v>48</v>
      </c>
      <c r="B4" s="8">
        <v>2</v>
      </c>
      <c r="C4" s="8" t="s">
        <v>44</v>
      </c>
      <c r="D4" s="8" t="s">
        <v>45</v>
      </c>
      <c r="E4" s="8" t="s">
        <v>46</v>
      </c>
      <c r="F4" s="8">
        <v>1999</v>
      </c>
      <c r="G4" s="8" t="s">
        <v>210</v>
      </c>
      <c r="H4" s="8" t="s">
        <v>47</v>
      </c>
      <c r="I4" s="8" t="s">
        <v>211</v>
      </c>
      <c r="J4" s="8">
        <v>142300</v>
      </c>
      <c r="K4" s="8">
        <v>140000</v>
      </c>
      <c r="L4" s="9" t="s">
        <v>213</v>
      </c>
    </row>
    <row r="5" spans="1:12" ht="17" thickTop="1" thickBot="1" x14ac:dyDescent="0.25">
      <c r="A5" s="7" t="s">
        <v>49</v>
      </c>
      <c r="B5" s="8">
        <v>3</v>
      </c>
      <c r="C5" s="8" t="s">
        <v>39</v>
      </c>
      <c r="D5" s="8" t="s">
        <v>50</v>
      </c>
      <c r="E5" s="8" t="s">
        <v>51</v>
      </c>
      <c r="F5" s="8">
        <v>2021</v>
      </c>
      <c r="G5" s="8" t="s">
        <v>214</v>
      </c>
      <c r="H5" s="8" t="s">
        <v>52</v>
      </c>
      <c r="I5" s="8" t="s">
        <v>215</v>
      </c>
      <c r="J5" s="8">
        <v>38700</v>
      </c>
      <c r="K5" s="8">
        <v>35000</v>
      </c>
      <c r="L5" s="9"/>
    </row>
    <row r="6" spans="1:12" ht="17" thickTop="1" thickBot="1" x14ac:dyDescent="0.25">
      <c r="A6" s="7" t="s">
        <v>53</v>
      </c>
      <c r="B6" s="8">
        <v>4</v>
      </c>
      <c r="C6" s="8" t="s">
        <v>44</v>
      </c>
      <c r="D6" s="8" t="s">
        <v>54</v>
      </c>
      <c r="E6" s="8" t="s">
        <v>55</v>
      </c>
      <c r="F6" s="8">
        <v>2018</v>
      </c>
      <c r="G6" s="8" t="s">
        <v>210</v>
      </c>
      <c r="H6" s="8" t="s">
        <v>56</v>
      </c>
      <c r="I6" s="8" t="s">
        <v>211</v>
      </c>
      <c r="J6" s="8">
        <v>223100</v>
      </c>
      <c r="K6" s="8">
        <v>220000</v>
      </c>
      <c r="L6" s="9" t="s">
        <v>216</v>
      </c>
    </row>
    <row r="7" spans="1:12" ht="17" thickTop="1" thickBot="1" x14ac:dyDescent="0.25">
      <c r="A7" s="7" t="s">
        <v>57</v>
      </c>
      <c r="B7" s="8">
        <v>5</v>
      </c>
      <c r="C7" s="8" t="s">
        <v>39</v>
      </c>
      <c r="D7" s="8" t="s">
        <v>58</v>
      </c>
      <c r="E7" s="8" t="s">
        <v>59</v>
      </c>
      <c r="F7" s="8">
        <v>2022</v>
      </c>
      <c r="G7" s="8" t="s">
        <v>207</v>
      </c>
      <c r="H7" s="8" t="s">
        <v>60</v>
      </c>
      <c r="I7" s="8" t="s">
        <v>217</v>
      </c>
      <c r="J7" s="8">
        <v>22100</v>
      </c>
      <c r="K7" s="8">
        <v>20000</v>
      </c>
      <c r="L7" s="9"/>
    </row>
    <row r="8" spans="1:12" ht="16" thickTop="1" x14ac:dyDescent="0.2">
      <c r="A8" s="10" t="s">
        <v>61</v>
      </c>
      <c r="B8" s="11">
        <v>1</v>
      </c>
      <c r="C8" s="11" t="s">
        <v>62</v>
      </c>
      <c r="D8" s="11" t="s">
        <v>63</v>
      </c>
      <c r="E8" s="11" t="s">
        <v>64</v>
      </c>
      <c r="F8" s="11">
        <v>2020</v>
      </c>
      <c r="G8" s="11" t="s">
        <v>207</v>
      </c>
      <c r="H8" s="11" t="s">
        <v>65</v>
      </c>
      <c r="I8" s="11" t="s">
        <v>66</v>
      </c>
      <c r="J8" s="11">
        <v>18900</v>
      </c>
      <c r="K8" s="11">
        <v>17500</v>
      </c>
      <c r="L8" s="12"/>
    </row>
    <row r="9" spans="1:12" ht="20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showGridLines="0" workbookViewId="0">
      <selection activeCell="D37" sqref="D37"/>
    </sheetView>
  </sheetViews>
  <sheetFormatPr baseColWidth="10" defaultColWidth="9.1640625" defaultRowHeight="15" x14ac:dyDescent="0.2"/>
  <cols>
    <col min="1" max="1" width="9.6640625" bestFit="1" customWidth="1"/>
    <col min="2" max="2" width="8.6640625" bestFit="1" customWidth="1"/>
    <col min="3" max="3" width="12.83203125" bestFit="1" customWidth="1"/>
    <col min="4" max="4" width="25.1640625" bestFit="1" customWidth="1"/>
    <col min="5" max="5" width="9.1640625" bestFit="1" customWidth="1"/>
    <col min="6" max="6" width="8.83203125" bestFit="1" customWidth="1"/>
    <col min="7" max="7" width="11" bestFit="1" customWidth="1"/>
    <col min="8" max="8" width="12" bestFit="1" customWidth="1"/>
    <col min="9" max="9" width="9.6640625" bestFit="1" customWidth="1"/>
    <col min="10" max="10" width="18" bestFit="1" customWidth="1"/>
    <col min="11" max="11" width="9.6640625" bestFit="1" customWidth="1"/>
    <col min="12" max="12" width="22" bestFit="1" customWidth="1"/>
  </cols>
  <sheetData>
    <row r="1" spans="1:12" s="4" customFormat="1" ht="16" thickBot="1" x14ac:dyDescent="0.25">
      <c r="A1" s="13" t="s">
        <v>218</v>
      </c>
      <c r="B1" s="14" t="s">
        <v>183</v>
      </c>
      <c r="C1" s="14" t="s">
        <v>184</v>
      </c>
      <c r="D1" s="14" t="s">
        <v>219</v>
      </c>
      <c r="E1" s="14" t="s">
        <v>220</v>
      </c>
      <c r="F1" s="14" t="s">
        <v>221</v>
      </c>
      <c r="G1" s="14" t="s">
        <v>222</v>
      </c>
      <c r="H1" s="14" t="s">
        <v>223</v>
      </c>
      <c r="I1" s="14" t="s">
        <v>224</v>
      </c>
      <c r="J1" s="14" t="s">
        <v>187</v>
      </c>
      <c r="K1" s="14" t="s">
        <v>186</v>
      </c>
      <c r="L1" s="15" t="s">
        <v>193</v>
      </c>
    </row>
    <row r="2" spans="1:12" ht="17" thickTop="1" thickBot="1" x14ac:dyDescent="0.25">
      <c r="A2" s="7">
        <v>1</v>
      </c>
      <c r="B2" s="8" t="s">
        <v>67</v>
      </c>
      <c r="C2" s="8" t="s">
        <v>68</v>
      </c>
      <c r="D2" s="8" t="s">
        <v>225</v>
      </c>
      <c r="E2" s="8">
        <v>1</v>
      </c>
      <c r="F2" s="16">
        <v>42032</v>
      </c>
      <c r="G2" s="8">
        <v>28</v>
      </c>
      <c r="H2" s="8"/>
      <c r="I2" s="8" t="b">
        <v>1</v>
      </c>
      <c r="J2" s="8" t="s">
        <v>69</v>
      </c>
      <c r="K2" s="8" t="s">
        <v>70</v>
      </c>
      <c r="L2" s="9" t="s">
        <v>226</v>
      </c>
    </row>
    <row r="3" spans="1:12" ht="17" thickTop="1" thickBot="1" x14ac:dyDescent="0.25">
      <c r="A3" s="7">
        <v>2</v>
      </c>
      <c r="B3" s="8" t="s">
        <v>71</v>
      </c>
      <c r="C3" s="8" t="s">
        <v>68</v>
      </c>
      <c r="D3" s="8" t="s">
        <v>227</v>
      </c>
      <c r="E3" s="8">
        <v>1</v>
      </c>
      <c r="F3" s="16">
        <v>42032</v>
      </c>
      <c r="G3" s="8">
        <v>28</v>
      </c>
      <c r="H3" s="8"/>
      <c r="I3" s="8" t="b">
        <v>1</v>
      </c>
      <c r="J3" s="8" t="s">
        <v>72</v>
      </c>
      <c r="K3" s="8" t="s">
        <v>70</v>
      </c>
      <c r="L3" s="9" t="s">
        <v>226</v>
      </c>
    </row>
    <row r="4" spans="1:12" ht="17" thickTop="1" thickBot="1" x14ac:dyDescent="0.25">
      <c r="A4" s="7">
        <v>3</v>
      </c>
      <c r="B4" s="8" t="s">
        <v>73</v>
      </c>
      <c r="C4" s="8" t="s">
        <v>74</v>
      </c>
      <c r="D4" s="8" t="s">
        <v>228</v>
      </c>
      <c r="E4" s="8">
        <v>1</v>
      </c>
      <c r="F4" s="16">
        <v>42444</v>
      </c>
      <c r="G4" s="8">
        <v>18.5</v>
      </c>
      <c r="H4" s="8">
        <v>45</v>
      </c>
      <c r="I4" s="8" t="b">
        <v>1</v>
      </c>
      <c r="J4" s="8" t="s">
        <v>75</v>
      </c>
      <c r="K4" s="8"/>
      <c r="L4" s="9" t="s">
        <v>229</v>
      </c>
    </row>
    <row r="5" spans="1:12" ht="17" thickTop="1" thickBot="1" x14ac:dyDescent="0.25">
      <c r="A5" s="7">
        <v>4</v>
      </c>
      <c r="B5" s="8" t="s">
        <v>76</v>
      </c>
      <c r="C5" s="8" t="s">
        <v>77</v>
      </c>
      <c r="D5" s="8" t="s">
        <v>230</v>
      </c>
      <c r="E5" s="8">
        <v>2</v>
      </c>
      <c r="F5" s="16">
        <v>42979</v>
      </c>
      <c r="G5" s="8">
        <v>17</v>
      </c>
      <c r="H5" s="8">
        <v>45</v>
      </c>
      <c r="I5" s="8" t="b">
        <v>1</v>
      </c>
      <c r="J5" s="8"/>
      <c r="K5" s="8"/>
      <c r="L5" s="9" t="s">
        <v>231</v>
      </c>
    </row>
    <row r="6" spans="1:12" ht="17" thickTop="1" thickBot="1" x14ac:dyDescent="0.25">
      <c r="A6" s="7">
        <v>5</v>
      </c>
      <c r="B6" s="8" t="s">
        <v>78</v>
      </c>
      <c r="C6" s="8" t="s">
        <v>79</v>
      </c>
      <c r="D6" s="8" t="s">
        <v>232</v>
      </c>
      <c r="E6" s="8">
        <v>3</v>
      </c>
      <c r="F6" s="16">
        <v>43151</v>
      </c>
      <c r="G6" s="8">
        <v>16.5</v>
      </c>
      <c r="H6" s="8">
        <v>40</v>
      </c>
      <c r="I6" s="8" t="b">
        <v>1</v>
      </c>
      <c r="J6" s="8"/>
      <c r="K6" s="8"/>
      <c r="L6" s="9"/>
    </row>
    <row r="7" spans="1:12" ht="17" thickTop="1" thickBot="1" x14ac:dyDescent="0.25">
      <c r="A7" s="7">
        <v>6</v>
      </c>
      <c r="B7" s="8" t="s">
        <v>80</v>
      </c>
      <c r="C7" s="8" t="s">
        <v>81</v>
      </c>
      <c r="D7" s="8" t="s">
        <v>233</v>
      </c>
      <c r="E7" s="8">
        <v>4</v>
      </c>
      <c r="F7" s="16">
        <v>43626</v>
      </c>
      <c r="G7" s="8">
        <v>16</v>
      </c>
      <c r="H7" s="8">
        <v>40</v>
      </c>
      <c r="I7" s="8" t="b">
        <v>1</v>
      </c>
      <c r="J7" s="8"/>
      <c r="K7" s="8"/>
      <c r="L7" s="9"/>
    </row>
    <row r="8" spans="1:12" ht="16" thickTop="1" x14ac:dyDescent="0.2">
      <c r="A8" s="10">
        <v>7</v>
      </c>
      <c r="B8" s="11" t="s">
        <v>82</v>
      </c>
      <c r="C8" s="11" t="s">
        <v>83</v>
      </c>
      <c r="D8" s="11" t="s">
        <v>234</v>
      </c>
      <c r="E8" s="11">
        <v>6</v>
      </c>
      <c r="F8" s="17">
        <v>44655</v>
      </c>
      <c r="G8" s="11">
        <v>15.5</v>
      </c>
      <c r="H8" s="11">
        <v>38</v>
      </c>
      <c r="I8" s="11" t="b">
        <v>1</v>
      </c>
      <c r="J8" s="11"/>
      <c r="K8" s="11"/>
      <c r="L8" s="12" t="s">
        <v>235</v>
      </c>
    </row>
    <row r="9" spans="1:12" ht="20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showGridLines="0" workbookViewId="0">
      <selection activeCell="F22" sqref="F22"/>
    </sheetView>
  </sheetViews>
  <sheetFormatPr baseColWidth="10" defaultColWidth="9.1640625" defaultRowHeight="15" x14ac:dyDescent="0.2"/>
  <cols>
    <col min="1" max="1" width="9.1640625" bestFit="1" customWidth="1"/>
    <col min="2" max="2" width="15.83203125" bestFit="1" customWidth="1"/>
    <col min="3" max="3" width="57.6640625" bestFit="1" customWidth="1"/>
    <col min="4" max="4" width="12" bestFit="1" customWidth="1"/>
    <col min="5" max="5" width="10.83203125" bestFit="1" customWidth="1"/>
    <col min="6" max="6" width="8.33203125" bestFit="1" customWidth="1"/>
    <col min="7" max="7" width="9.6640625" bestFit="1" customWidth="1"/>
  </cols>
  <sheetData>
    <row r="1" spans="1:7" s="4" customFormat="1" ht="16" thickBot="1" x14ac:dyDescent="0.25">
      <c r="A1" s="13" t="s">
        <v>220</v>
      </c>
      <c r="B1" s="14" t="s">
        <v>236</v>
      </c>
      <c r="C1" s="14" t="s">
        <v>237</v>
      </c>
      <c r="D1" s="14" t="s">
        <v>223</v>
      </c>
      <c r="E1" s="14" t="s">
        <v>238</v>
      </c>
      <c r="F1" s="14" t="s">
        <v>239</v>
      </c>
      <c r="G1" s="15" t="s">
        <v>224</v>
      </c>
    </row>
    <row r="2" spans="1:7" ht="17" thickTop="1" thickBot="1" x14ac:dyDescent="0.25">
      <c r="A2" s="7">
        <v>1</v>
      </c>
      <c r="B2" s="8" t="s">
        <v>240</v>
      </c>
      <c r="C2" s="8" t="s">
        <v>241</v>
      </c>
      <c r="D2" s="8">
        <v>45</v>
      </c>
      <c r="E2" s="8">
        <v>18.5</v>
      </c>
      <c r="F2" s="8" t="s">
        <v>84</v>
      </c>
      <c r="G2" s="8" t="s">
        <v>465</v>
      </c>
    </row>
    <row r="3" spans="1:7" ht="17" thickTop="1" thickBot="1" x14ac:dyDescent="0.25">
      <c r="A3" s="7">
        <v>2</v>
      </c>
      <c r="B3" s="8" t="s">
        <v>242</v>
      </c>
      <c r="C3" s="8" t="s">
        <v>243</v>
      </c>
      <c r="D3" s="8">
        <v>45</v>
      </c>
      <c r="E3" s="8">
        <v>17</v>
      </c>
      <c r="F3" s="8" t="s">
        <v>85</v>
      </c>
      <c r="G3" s="8" t="s">
        <v>465</v>
      </c>
    </row>
    <row r="4" spans="1:7" ht="17" thickTop="1" thickBot="1" x14ac:dyDescent="0.25">
      <c r="A4" s="7">
        <v>3</v>
      </c>
      <c r="B4" s="8" t="s">
        <v>244</v>
      </c>
      <c r="C4" s="8" t="s">
        <v>245</v>
      </c>
      <c r="D4" s="8">
        <v>40</v>
      </c>
      <c r="E4" s="8">
        <v>16.5</v>
      </c>
      <c r="F4" s="8" t="s">
        <v>86</v>
      </c>
      <c r="G4" s="8" t="s">
        <v>465</v>
      </c>
    </row>
    <row r="5" spans="1:7" ht="17" thickTop="1" thickBot="1" x14ac:dyDescent="0.25">
      <c r="A5" s="7">
        <v>4</v>
      </c>
      <c r="B5" s="8" t="s">
        <v>246</v>
      </c>
      <c r="C5" s="8" t="s">
        <v>247</v>
      </c>
      <c r="D5" s="8">
        <v>40</v>
      </c>
      <c r="E5" s="8">
        <v>16</v>
      </c>
      <c r="F5" s="8" t="s">
        <v>87</v>
      </c>
      <c r="G5" s="8" t="s">
        <v>465</v>
      </c>
    </row>
    <row r="6" spans="1:7" ht="17" thickTop="1" thickBot="1" x14ac:dyDescent="0.25">
      <c r="A6" s="7">
        <v>5</v>
      </c>
      <c r="B6" s="8" t="s">
        <v>248</v>
      </c>
      <c r="C6" s="8" t="s">
        <v>249</v>
      </c>
      <c r="D6" s="8">
        <v>35</v>
      </c>
      <c r="E6" s="8">
        <v>15.5</v>
      </c>
      <c r="F6" s="8" t="s">
        <v>88</v>
      </c>
      <c r="G6" s="8" t="s">
        <v>465</v>
      </c>
    </row>
    <row r="7" spans="1:7" ht="17" thickTop="1" thickBot="1" x14ac:dyDescent="0.25">
      <c r="A7" s="10">
        <v>6</v>
      </c>
      <c r="B7" s="11" t="s">
        <v>89</v>
      </c>
      <c r="C7" s="11" t="s">
        <v>250</v>
      </c>
      <c r="D7" s="11">
        <v>38</v>
      </c>
      <c r="E7" s="11">
        <v>15.5</v>
      </c>
      <c r="F7" s="11" t="s">
        <v>90</v>
      </c>
      <c r="G7" s="8" t="s">
        <v>465</v>
      </c>
    </row>
    <row r="8" spans="1:7" ht="20" customHeight="1" thickTop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showGridLines="0" workbookViewId="0">
      <selection activeCell="F2" sqref="F2:F6"/>
    </sheetView>
  </sheetViews>
  <sheetFormatPr baseColWidth="10" defaultColWidth="9.1640625" defaultRowHeight="15" x14ac:dyDescent="0.2"/>
  <cols>
    <col min="1" max="1" width="8" bestFit="1" customWidth="1"/>
    <col min="2" max="2" width="21.6640625" bestFit="1" customWidth="1"/>
    <col min="3" max="3" width="36.6640625" bestFit="1" customWidth="1"/>
    <col min="4" max="4" width="9.1640625" bestFit="1" customWidth="1"/>
    <col min="5" max="5" width="12.33203125" bestFit="1" customWidth="1"/>
    <col min="6" max="6" width="9.6640625" bestFit="1" customWidth="1"/>
    <col min="7" max="7" width="23" bestFit="1" customWidth="1"/>
  </cols>
  <sheetData>
    <row r="1" spans="1:7" s="4" customFormat="1" ht="16" thickBot="1" x14ac:dyDescent="0.25">
      <c r="A1" s="13" t="s">
        <v>251</v>
      </c>
      <c r="B1" s="14" t="s">
        <v>252</v>
      </c>
      <c r="C1" s="14" t="s">
        <v>237</v>
      </c>
      <c r="D1" s="14" t="s">
        <v>220</v>
      </c>
      <c r="E1" s="14" t="s">
        <v>253</v>
      </c>
      <c r="F1" s="14" t="s">
        <v>224</v>
      </c>
      <c r="G1" s="15" t="s">
        <v>193</v>
      </c>
    </row>
    <row r="2" spans="1:7" ht="17" thickTop="1" thickBot="1" x14ac:dyDescent="0.25">
      <c r="A2" s="7">
        <v>101</v>
      </c>
      <c r="B2" s="8" t="s">
        <v>254</v>
      </c>
      <c r="C2" s="8" t="s">
        <v>255</v>
      </c>
      <c r="D2" s="8">
        <v>1</v>
      </c>
      <c r="E2" s="8">
        <v>1.5</v>
      </c>
      <c r="F2" s="8" t="s">
        <v>465</v>
      </c>
      <c r="G2" s="9"/>
    </row>
    <row r="3" spans="1:7" ht="17" thickTop="1" thickBot="1" x14ac:dyDescent="0.25">
      <c r="A3" s="7">
        <v>102</v>
      </c>
      <c r="B3" s="8" t="s">
        <v>256</v>
      </c>
      <c r="C3" s="8" t="s">
        <v>257</v>
      </c>
      <c r="D3" s="8">
        <v>1</v>
      </c>
      <c r="E3" s="8">
        <v>2.5</v>
      </c>
      <c r="F3" s="8" t="s">
        <v>465</v>
      </c>
      <c r="G3" s="9"/>
    </row>
    <row r="4" spans="1:7" ht="17" thickTop="1" thickBot="1" x14ac:dyDescent="0.25">
      <c r="A4" s="7">
        <v>103</v>
      </c>
      <c r="B4" s="8" t="s">
        <v>258</v>
      </c>
      <c r="C4" s="8" t="s">
        <v>259</v>
      </c>
      <c r="D4" s="8">
        <v>1</v>
      </c>
      <c r="E4" s="8">
        <v>1</v>
      </c>
      <c r="F4" s="8" t="s">
        <v>465</v>
      </c>
      <c r="G4" s="9"/>
    </row>
    <row r="5" spans="1:7" ht="17" thickTop="1" thickBot="1" x14ac:dyDescent="0.25">
      <c r="A5" s="7">
        <v>104</v>
      </c>
      <c r="B5" s="8" t="s">
        <v>260</v>
      </c>
      <c r="C5" s="8" t="s">
        <v>261</v>
      </c>
      <c r="D5" s="8">
        <v>1</v>
      </c>
      <c r="E5" s="8">
        <v>4</v>
      </c>
      <c r="F5" s="8" t="s">
        <v>465</v>
      </c>
      <c r="G5" s="9" t="s">
        <v>262</v>
      </c>
    </row>
    <row r="6" spans="1:7" ht="17" thickTop="1" thickBot="1" x14ac:dyDescent="0.25">
      <c r="A6" s="7">
        <v>105</v>
      </c>
      <c r="B6" s="8" t="s">
        <v>263</v>
      </c>
      <c r="C6" s="8" t="s">
        <v>264</v>
      </c>
      <c r="D6" s="8">
        <v>1</v>
      </c>
      <c r="E6" s="8">
        <v>5</v>
      </c>
      <c r="F6" s="8" t="s">
        <v>465</v>
      </c>
      <c r="G6" s="9"/>
    </row>
    <row r="7" spans="1:7" ht="17" thickTop="1" thickBot="1" x14ac:dyDescent="0.25">
      <c r="A7" s="7">
        <v>201</v>
      </c>
      <c r="B7" s="8" t="s">
        <v>265</v>
      </c>
      <c r="C7" s="8" t="s">
        <v>266</v>
      </c>
      <c r="D7" s="8">
        <v>2</v>
      </c>
      <c r="E7" s="8">
        <v>0.5</v>
      </c>
      <c r="F7" s="8" t="s">
        <v>465</v>
      </c>
      <c r="G7" s="9"/>
    </row>
    <row r="8" spans="1:7" ht="17" thickTop="1" thickBot="1" x14ac:dyDescent="0.25">
      <c r="A8" s="7">
        <v>202</v>
      </c>
      <c r="B8" s="8" t="s">
        <v>267</v>
      </c>
      <c r="C8" s="8" t="s">
        <v>268</v>
      </c>
      <c r="D8" s="8">
        <v>2</v>
      </c>
      <c r="E8" s="8">
        <v>1.5</v>
      </c>
      <c r="F8" s="8" t="s">
        <v>465</v>
      </c>
      <c r="G8" s="9" t="s">
        <v>269</v>
      </c>
    </row>
    <row r="9" spans="1:7" ht="17" thickTop="1" thickBot="1" x14ac:dyDescent="0.25">
      <c r="A9" s="7">
        <v>203</v>
      </c>
      <c r="B9" s="8" t="s">
        <v>270</v>
      </c>
      <c r="C9" s="8" t="s">
        <v>271</v>
      </c>
      <c r="D9" s="8">
        <v>2</v>
      </c>
      <c r="E9" s="8">
        <v>2</v>
      </c>
      <c r="F9" s="8" t="s">
        <v>465</v>
      </c>
      <c r="G9" s="9" t="s">
        <v>272</v>
      </c>
    </row>
    <row r="10" spans="1:7" ht="17" thickTop="1" thickBot="1" x14ac:dyDescent="0.25">
      <c r="A10" s="7">
        <v>301</v>
      </c>
      <c r="B10" s="8" t="s">
        <v>273</v>
      </c>
      <c r="C10" s="8" t="s">
        <v>274</v>
      </c>
      <c r="D10" s="8">
        <v>3</v>
      </c>
      <c r="E10" s="8">
        <v>2</v>
      </c>
      <c r="F10" s="8" t="s">
        <v>465</v>
      </c>
      <c r="G10" s="9"/>
    </row>
    <row r="11" spans="1:7" ht="17" thickTop="1" thickBot="1" x14ac:dyDescent="0.25">
      <c r="A11" s="7">
        <v>302</v>
      </c>
      <c r="B11" s="8" t="s">
        <v>275</v>
      </c>
      <c r="C11" s="8" t="s">
        <v>276</v>
      </c>
      <c r="D11" s="8">
        <v>3</v>
      </c>
      <c r="E11" s="8">
        <v>3.5</v>
      </c>
      <c r="F11" s="8" t="s">
        <v>465</v>
      </c>
      <c r="G11" s="9"/>
    </row>
    <row r="12" spans="1:7" ht="17" thickTop="1" thickBot="1" x14ac:dyDescent="0.25">
      <c r="A12" s="7">
        <v>303</v>
      </c>
      <c r="B12" s="8" t="s">
        <v>277</v>
      </c>
      <c r="C12" s="8" t="s">
        <v>278</v>
      </c>
      <c r="D12" s="8">
        <v>3</v>
      </c>
      <c r="E12" s="8">
        <v>8</v>
      </c>
      <c r="F12" s="8" t="s">
        <v>465</v>
      </c>
      <c r="G12" s="9" t="s">
        <v>279</v>
      </c>
    </row>
    <row r="13" spans="1:7" ht="17" thickTop="1" thickBot="1" x14ac:dyDescent="0.25">
      <c r="A13" s="7">
        <v>401</v>
      </c>
      <c r="B13" s="8" t="s">
        <v>280</v>
      </c>
      <c r="C13" s="8" t="s">
        <v>281</v>
      </c>
      <c r="D13" s="8">
        <v>4</v>
      </c>
      <c r="E13" s="8">
        <v>3</v>
      </c>
      <c r="F13" s="8" t="s">
        <v>465</v>
      </c>
      <c r="G13" s="9"/>
    </row>
    <row r="14" spans="1:7" ht="17" thickTop="1" thickBot="1" x14ac:dyDescent="0.25">
      <c r="A14" s="7">
        <v>402</v>
      </c>
      <c r="B14" s="8" t="s">
        <v>282</v>
      </c>
      <c r="C14" s="8" t="s">
        <v>283</v>
      </c>
      <c r="D14" s="8">
        <v>4</v>
      </c>
      <c r="E14" s="8">
        <v>14</v>
      </c>
      <c r="F14" s="8" t="s">
        <v>465</v>
      </c>
      <c r="G14" s="9"/>
    </row>
    <row r="15" spans="1:7" ht="17" thickTop="1" thickBot="1" x14ac:dyDescent="0.25">
      <c r="A15" s="7">
        <v>501</v>
      </c>
      <c r="B15" s="8" t="s">
        <v>284</v>
      </c>
      <c r="C15" s="8" t="s">
        <v>285</v>
      </c>
      <c r="D15" s="8">
        <v>5</v>
      </c>
      <c r="E15" s="8">
        <v>0.25</v>
      </c>
      <c r="F15" s="8" t="s">
        <v>465</v>
      </c>
      <c r="G15" s="9"/>
    </row>
    <row r="16" spans="1:7" ht="17" thickTop="1" thickBot="1" x14ac:dyDescent="0.25">
      <c r="A16" s="7">
        <v>502</v>
      </c>
      <c r="B16" s="8" t="s">
        <v>286</v>
      </c>
      <c r="C16" s="8" t="s">
        <v>287</v>
      </c>
      <c r="D16" s="8">
        <v>5</v>
      </c>
      <c r="E16" s="8">
        <v>1</v>
      </c>
      <c r="F16" s="8" t="s">
        <v>465</v>
      </c>
      <c r="G16" s="9"/>
    </row>
    <row r="17" spans="1:7" ht="17" thickTop="1" thickBot="1" x14ac:dyDescent="0.25">
      <c r="A17" s="7">
        <v>503</v>
      </c>
      <c r="B17" s="8" t="s">
        <v>288</v>
      </c>
      <c r="C17" s="8" t="s">
        <v>289</v>
      </c>
      <c r="D17" s="8">
        <v>5</v>
      </c>
      <c r="E17" s="8">
        <v>0.75</v>
      </c>
      <c r="F17" s="8" t="s">
        <v>465</v>
      </c>
      <c r="G17" s="9"/>
    </row>
    <row r="18" spans="1:7" ht="17" thickTop="1" thickBot="1" x14ac:dyDescent="0.25">
      <c r="A18" s="7">
        <v>601</v>
      </c>
      <c r="B18" s="8" t="s">
        <v>290</v>
      </c>
      <c r="C18" s="8" t="s">
        <v>291</v>
      </c>
      <c r="D18" s="8">
        <v>6</v>
      </c>
      <c r="E18" s="8">
        <v>2</v>
      </c>
      <c r="F18" s="8" t="s">
        <v>465</v>
      </c>
      <c r="G18" s="9"/>
    </row>
    <row r="19" spans="1:7" ht="17" thickTop="1" thickBot="1" x14ac:dyDescent="0.25">
      <c r="A19" s="7">
        <v>602</v>
      </c>
      <c r="B19" s="8" t="s">
        <v>292</v>
      </c>
      <c r="C19" s="8" t="s">
        <v>293</v>
      </c>
      <c r="D19" s="8">
        <v>6</v>
      </c>
      <c r="E19" s="8">
        <v>1.5</v>
      </c>
      <c r="F19" s="8" t="s">
        <v>465</v>
      </c>
      <c r="G19" s="9"/>
    </row>
    <row r="20" spans="1:7" ht="17" thickTop="1" thickBot="1" x14ac:dyDescent="0.25">
      <c r="A20" s="7">
        <v>603</v>
      </c>
      <c r="B20" s="8" t="s">
        <v>294</v>
      </c>
      <c r="C20" s="8" t="s">
        <v>295</v>
      </c>
      <c r="D20" s="8">
        <v>6</v>
      </c>
      <c r="E20" s="8">
        <v>1.5</v>
      </c>
      <c r="F20" s="8" t="s">
        <v>465</v>
      </c>
      <c r="G20" s="9"/>
    </row>
    <row r="21" spans="1:7" ht="17" thickTop="1" thickBot="1" x14ac:dyDescent="0.25">
      <c r="A21" s="10">
        <v>9999</v>
      </c>
      <c r="B21" s="11" t="s">
        <v>296</v>
      </c>
      <c r="C21" s="11" t="s">
        <v>297</v>
      </c>
      <c r="D21" s="11">
        <v>1</v>
      </c>
      <c r="E21" s="11">
        <v>1</v>
      </c>
      <c r="F21" s="8" t="s">
        <v>465</v>
      </c>
      <c r="G21" s="12" t="s">
        <v>298</v>
      </c>
    </row>
    <row r="22" spans="1:7" ht="20" customHeight="1" thickTop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"/>
  <sheetViews>
    <sheetView showGridLines="0" workbookViewId="0">
      <selection activeCell="L17" sqref="L17"/>
    </sheetView>
  </sheetViews>
  <sheetFormatPr baseColWidth="10" defaultColWidth="9.1640625" defaultRowHeight="15" x14ac:dyDescent="0.2"/>
  <cols>
    <col min="1" max="1" width="8.5" bestFit="1" customWidth="1"/>
    <col min="2" max="2" width="8.83203125" bestFit="1" customWidth="1"/>
    <col min="3" max="3" width="17" bestFit="1" customWidth="1"/>
    <col min="4" max="4" width="18" customWidth="1"/>
    <col min="5" max="5" width="22.1640625" bestFit="1" customWidth="1"/>
    <col min="6" max="6" width="9.6640625" bestFit="1" customWidth="1"/>
    <col min="7" max="7" width="24" bestFit="1" customWidth="1"/>
    <col min="8" max="8" width="20.1640625" bestFit="1" customWidth="1"/>
    <col min="9" max="10" width="8.83203125" bestFit="1" customWidth="1"/>
    <col min="11" max="11" width="15.5" bestFit="1" customWidth="1"/>
    <col min="12" max="12" width="9.1640625" bestFit="1" customWidth="1"/>
    <col min="13" max="13" width="9.6640625" bestFit="1" customWidth="1"/>
    <col min="14" max="14" width="29.6640625" bestFit="1" customWidth="1"/>
  </cols>
  <sheetData>
    <row r="1" spans="1:14" s="4" customFormat="1" ht="16" thickBot="1" x14ac:dyDescent="0.25">
      <c r="A1" s="13" t="s">
        <v>299</v>
      </c>
      <c r="B1" s="14" t="s">
        <v>300</v>
      </c>
      <c r="C1" s="14" t="s">
        <v>185</v>
      </c>
      <c r="D1" s="14" t="s">
        <v>301</v>
      </c>
      <c r="E1" s="14" t="s">
        <v>302</v>
      </c>
      <c r="F1" s="14" t="s">
        <v>186</v>
      </c>
      <c r="G1" s="14" t="s">
        <v>187</v>
      </c>
      <c r="H1" s="14" t="s">
        <v>188</v>
      </c>
      <c r="I1" s="14" t="s">
        <v>189</v>
      </c>
      <c r="J1" s="14" t="s">
        <v>190</v>
      </c>
      <c r="K1" s="14" t="s">
        <v>191</v>
      </c>
      <c r="L1" s="14" t="s">
        <v>303</v>
      </c>
      <c r="M1" s="14" t="s">
        <v>224</v>
      </c>
      <c r="N1" s="15" t="s">
        <v>193</v>
      </c>
    </row>
    <row r="2" spans="1:14" ht="17" thickTop="1" thickBot="1" x14ac:dyDescent="0.25">
      <c r="A2" s="7">
        <v>1001</v>
      </c>
      <c r="B2" s="8" t="s">
        <v>91</v>
      </c>
      <c r="C2" s="8" t="s">
        <v>92</v>
      </c>
      <c r="D2" s="8" t="s">
        <v>304</v>
      </c>
      <c r="E2" s="8" t="s">
        <v>305</v>
      </c>
      <c r="F2" s="8" t="s">
        <v>93</v>
      </c>
      <c r="G2" s="8" t="s">
        <v>94</v>
      </c>
      <c r="H2" s="8" t="s">
        <v>95</v>
      </c>
      <c r="I2" s="8" t="s">
        <v>7</v>
      </c>
      <c r="J2" s="8">
        <v>28031</v>
      </c>
      <c r="K2" s="8">
        <v>30</v>
      </c>
      <c r="L2" s="8">
        <v>0.15</v>
      </c>
      <c r="M2" s="8" t="s">
        <v>465</v>
      </c>
      <c r="N2" s="9" t="s">
        <v>306</v>
      </c>
    </row>
    <row r="3" spans="1:14" ht="17" thickTop="1" thickBot="1" x14ac:dyDescent="0.25">
      <c r="A3" s="7">
        <v>1002</v>
      </c>
      <c r="B3" s="8" t="s">
        <v>96</v>
      </c>
      <c r="C3" s="8" t="s">
        <v>97</v>
      </c>
      <c r="D3" s="8" t="s">
        <v>307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7</v>
      </c>
      <c r="J3" s="8">
        <v>28029</v>
      </c>
      <c r="K3" s="8">
        <v>30</v>
      </c>
      <c r="L3" s="8">
        <v>0.2</v>
      </c>
      <c r="M3" s="8" t="s">
        <v>465</v>
      </c>
      <c r="N3" s="9" t="s">
        <v>308</v>
      </c>
    </row>
    <row r="4" spans="1:14" ht="17" thickTop="1" thickBot="1" x14ac:dyDescent="0.25">
      <c r="A4" s="7">
        <v>1003</v>
      </c>
      <c r="B4" s="8" t="s">
        <v>102</v>
      </c>
      <c r="C4" s="8" t="s">
        <v>309</v>
      </c>
      <c r="D4" s="8" t="s">
        <v>248</v>
      </c>
      <c r="E4" s="8" t="s">
        <v>310</v>
      </c>
      <c r="F4" s="8" t="s">
        <v>103</v>
      </c>
      <c r="G4" s="8" t="s">
        <v>104</v>
      </c>
      <c r="H4" s="8" t="s">
        <v>105</v>
      </c>
      <c r="I4" s="8" t="s">
        <v>7</v>
      </c>
      <c r="J4" s="8">
        <v>28027</v>
      </c>
      <c r="K4" s="8">
        <v>45</v>
      </c>
      <c r="L4" s="8">
        <v>0.1</v>
      </c>
      <c r="M4" s="8" t="s">
        <v>465</v>
      </c>
      <c r="N4" s="9" t="s">
        <v>311</v>
      </c>
    </row>
    <row r="5" spans="1:14" ht="17" thickTop="1" thickBot="1" x14ac:dyDescent="0.25">
      <c r="A5" s="7">
        <v>1004</v>
      </c>
      <c r="B5" s="8" t="s">
        <v>106</v>
      </c>
      <c r="C5" s="8" t="s">
        <v>312</v>
      </c>
      <c r="D5" s="8" t="s">
        <v>313</v>
      </c>
      <c r="E5" s="8" t="s">
        <v>107</v>
      </c>
      <c r="F5" s="8" t="s">
        <v>108</v>
      </c>
      <c r="G5" s="8" t="s">
        <v>109</v>
      </c>
      <c r="H5" s="8" t="s">
        <v>110</v>
      </c>
      <c r="I5" s="8" t="s">
        <v>23</v>
      </c>
      <c r="J5" s="8">
        <v>28100</v>
      </c>
      <c r="K5" s="8">
        <v>30</v>
      </c>
      <c r="L5" s="8">
        <v>0.12</v>
      </c>
      <c r="M5" s="8" t="s">
        <v>465</v>
      </c>
      <c r="N5" s="9" t="s">
        <v>314</v>
      </c>
    </row>
    <row r="6" spans="1:14" ht="17" thickTop="1" thickBot="1" x14ac:dyDescent="0.25">
      <c r="A6" s="10">
        <v>1005</v>
      </c>
      <c r="B6" s="11" t="s">
        <v>111</v>
      </c>
      <c r="C6" s="11" t="s">
        <v>112</v>
      </c>
      <c r="D6" s="11" t="s">
        <v>113</v>
      </c>
      <c r="E6" s="11" t="s">
        <v>315</v>
      </c>
      <c r="F6" s="11" t="s">
        <v>114</v>
      </c>
      <c r="G6" s="11" t="s">
        <v>115</v>
      </c>
      <c r="H6" s="11" t="s">
        <v>116</v>
      </c>
      <c r="I6" s="11" t="s">
        <v>23</v>
      </c>
      <c r="J6" s="11">
        <v>28108</v>
      </c>
      <c r="K6" s="11">
        <v>60</v>
      </c>
      <c r="L6" s="11">
        <v>0.08</v>
      </c>
      <c r="M6" s="8" t="s">
        <v>465</v>
      </c>
      <c r="N6" s="12" t="s">
        <v>316</v>
      </c>
    </row>
    <row r="7" spans="1:14" ht="20" customHeight="1" thickTop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0"/>
  <sheetViews>
    <sheetView showGridLines="0" topLeftCell="C1" workbookViewId="0">
      <selection activeCell="M2" sqref="M2:M13"/>
    </sheetView>
  </sheetViews>
  <sheetFormatPr baseColWidth="10" defaultColWidth="9.1640625" defaultRowHeight="15" x14ac:dyDescent="0.2"/>
  <cols>
    <col min="1" max="1" width="8.1640625" bestFit="1" customWidth="1"/>
    <col min="2" max="2" width="13.83203125" bestFit="1" customWidth="1"/>
    <col min="3" max="3" width="27" bestFit="1" customWidth="1"/>
    <col min="4" max="4" width="8.83203125" bestFit="1" customWidth="1"/>
    <col min="5" max="5" width="8.5" bestFit="1" customWidth="1"/>
    <col min="6" max="6" width="11" bestFit="1" customWidth="1"/>
    <col min="7" max="7" width="10.5" customWidth="1"/>
    <col min="8" max="8" width="7.5" bestFit="1" customWidth="1"/>
    <col min="9" max="9" width="8.6640625" bestFit="1" customWidth="1"/>
    <col min="10" max="10" width="7.83203125" bestFit="1" customWidth="1"/>
    <col min="11" max="11" width="8.33203125" bestFit="1" customWidth="1"/>
    <col min="12" max="12" width="10.5" bestFit="1" customWidth="1"/>
    <col min="13" max="13" width="9.6640625" bestFit="1" customWidth="1"/>
    <col min="14" max="14" width="29.6640625" bestFit="1" customWidth="1"/>
    <col min="15" max="15" width="10" bestFit="1" customWidth="1"/>
    <col min="16" max="16" width="12.33203125" bestFit="1" customWidth="1"/>
    <col min="17" max="17" width="12.6640625" bestFit="1" customWidth="1"/>
  </cols>
  <sheetData>
    <row r="1" spans="1:17" s="4" customFormat="1" ht="16" thickBot="1" x14ac:dyDescent="0.25">
      <c r="A1" s="13" t="s">
        <v>317</v>
      </c>
      <c r="B1" s="14" t="s">
        <v>318</v>
      </c>
      <c r="C1" s="14" t="s">
        <v>319</v>
      </c>
      <c r="D1" s="14" t="s">
        <v>301</v>
      </c>
      <c r="E1" s="14" t="s">
        <v>299</v>
      </c>
      <c r="F1" s="14" t="s">
        <v>320</v>
      </c>
      <c r="G1" s="14" t="s">
        <v>321</v>
      </c>
      <c r="H1" s="14" t="s">
        <v>322</v>
      </c>
      <c r="I1" s="14" t="s">
        <v>323</v>
      </c>
      <c r="J1" s="14" t="s">
        <v>324</v>
      </c>
      <c r="K1" s="14" t="s">
        <v>325</v>
      </c>
      <c r="L1" s="14" t="s">
        <v>326</v>
      </c>
      <c r="M1" s="14" t="s">
        <v>224</v>
      </c>
      <c r="N1" s="14" t="s">
        <v>193</v>
      </c>
      <c r="O1" s="14" t="s">
        <v>327</v>
      </c>
      <c r="P1" s="14" t="s">
        <v>328</v>
      </c>
      <c r="Q1" s="15" t="s">
        <v>329</v>
      </c>
    </row>
    <row r="2" spans="1:17" ht="17" thickTop="1" thickBot="1" x14ac:dyDescent="0.25">
      <c r="A2" s="18">
        <v>101</v>
      </c>
      <c r="B2" s="19" t="s">
        <v>117</v>
      </c>
      <c r="C2" s="19" t="s">
        <v>330</v>
      </c>
      <c r="D2" s="19" t="s">
        <v>248</v>
      </c>
      <c r="E2" s="19">
        <v>1003</v>
      </c>
      <c r="F2" s="19">
        <v>72</v>
      </c>
      <c r="G2" s="19">
        <v>95</v>
      </c>
      <c r="H2" s="19">
        <v>0.21</v>
      </c>
      <c r="I2" s="19">
        <v>24</v>
      </c>
      <c r="J2" s="19">
        <v>8</v>
      </c>
      <c r="K2" s="19">
        <v>40</v>
      </c>
      <c r="L2" s="19">
        <v>3</v>
      </c>
      <c r="M2" s="19" t="s">
        <v>465</v>
      </c>
      <c r="N2" s="19" t="s">
        <v>331</v>
      </c>
      <c r="O2" s="19" t="s">
        <v>160</v>
      </c>
      <c r="P2" s="19">
        <v>1728</v>
      </c>
      <c r="Q2" s="20">
        <v>0.24210526315789499</v>
      </c>
    </row>
    <row r="3" spans="1:17" ht="17" thickTop="1" thickBot="1" x14ac:dyDescent="0.25">
      <c r="A3" s="18">
        <v>102</v>
      </c>
      <c r="B3" s="19" t="s">
        <v>118</v>
      </c>
      <c r="C3" s="19" t="s">
        <v>332</v>
      </c>
      <c r="D3" s="19" t="s">
        <v>248</v>
      </c>
      <c r="E3" s="19">
        <v>1003</v>
      </c>
      <c r="F3" s="19">
        <v>98</v>
      </c>
      <c r="G3" s="19">
        <v>130</v>
      </c>
      <c r="H3" s="19">
        <v>0.21</v>
      </c>
      <c r="I3" s="19">
        <v>12</v>
      </c>
      <c r="J3" s="19">
        <v>4</v>
      </c>
      <c r="K3" s="19">
        <v>20</v>
      </c>
      <c r="L3" s="19">
        <v>3</v>
      </c>
      <c r="M3" s="19" t="s">
        <v>465</v>
      </c>
      <c r="N3" s="19"/>
      <c r="O3" s="19" t="s">
        <v>160</v>
      </c>
      <c r="P3" s="19">
        <v>1176</v>
      </c>
      <c r="Q3" s="20">
        <v>0.246153846153846</v>
      </c>
    </row>
    <row r="4" spans="1:17" ht="17" thickTop="1" thickBot="1" x14ac:dyDescent="0.25">
      <c r="A4" s="18">
        <v>201</v>
      </c>
      <c r="B4" s="19" t="s">
        <v>119</v>
      </c>
      <c r="C4" s="19" t="s">
        <v>333</v>
      </c>
      <c r="D4" s="19" t="s">
        <v>334</v>
      </c>
      <c r="E4" s="19">
        <v>1001</v>
      </c>
      <c r="F4" s="19">
        <v>4.2</v>
      </c>
      <c r="G4" s="19">
        <v>8.5</v>
      </c>
      <c r="H4" s="19">
        <v>0.21</v>
      </c>
      <c r="I4" s="19">
        <v>50</v>
      </c>
      <c r="J4" s="19">
        <v>20</v>
      </c>
      <c r="K4" s="19">
        <v>80</v>
      </c>
      <c r="L4" s="19">
        <v>2</v>
      </c>
      <c r="M4" s="19" t="s">
        <v>465</v>
      </c>
      <c r="N4" s="19" t="s">
        <v>335</v>
      </c>
      <c r="O4" s="19" t="s">
        <v>160</v>
      </c>
      <c r="P4" s="19">
        <v>210</v>
      </c>
      <c r="Q4" s="20">
        <v>0.50588235294117601</v>
      </c>
    </row>
    <row r="5" spans="1:17" ht="17" thickTop="1" thickBot="1" x14ac:dyDescent="0.25">
      <c r="A5" s="18">
        <v>202</v>
      </c>
      <c r="B5" s="19" t="s">
        <v>120</v>
      </c>
      <c r="C5" s="19" t="s">
        <v>336</v>
      </c>
      <c r="D5" s="19" t="s">
        <v>334</v>
      </c>
      <c r="E5" s="19">
        <v>1001</v>
      </c>
      <c r="F5" s="19">
        <v>9.5</v>
      </c>
      <c r="G5" s="19">
        <v>18</v>
      </c>
      <c r="H5" s="19">
        <v>0.21</v>
      </c>
      <c r="I5" s="19">
        <v>15</v>
      </c>
      <c r="J5" s="19">
        <v>5</v>
      </c>
      <c r="K5" s="19">
        <v>25</v>
      </c>
      <c r="L5" s="19">
        <v>2</v>
      </c>
      <c r="M5" s="19" t="s">
        <v>465</v>
      </c>
      <c r="N5" s="19"/>
      <c r="O5" s="19" t="s">
        <v>160</v>
      </c>
      <c r="P5" s="19">
        <v>142.5</v>
      </c>
      <c r="Q5" s="20">
        <v>0.47222222222222199</v>
      </c>
    </row>
    <row r="6" spans="1:17" ht="17" thickTop="1" thickBot="1" x14ac:dyDescent="0.25">
      <c r="A6" s="18">
        <v>301</v>
      </c>
      <c r="B6" s="19" t="s">
        <v>121</v>
      </c>
      <c r="C6" s="19" t="s">
        <v>337</v>
      </c>
      <c r="D6" s="19" t="s">
        <v>338</v>
      </c>
      <c r="E6" s="19">
        <v>1001</v>
      </c>
      <c r="F6" s="19">
        <v>28</v>
      </c>
      <c r="G6" s="19">
        <v>52</v>
      </c>
      <c r="H6" s="19">
        <v>0.21</v>
      </c>
      <c r="I6" s="19">
        <v>10</v>
      </c>
      <c r="J6" s="19">
        <v>4</v>
      </c>
      <c r="K6" s="19">
        <v>20</v>
      </c>
      <c r="L6" s="19">
        <v>2</v>
      </c>
      <c r="M6" s="19" t="s">
        <v>465</v>
      </c>
      <c r="N6" s="19" t="s">
        <v>339</v>
      </c>
      <c r="O6" s="19" t="s">
        <v>160</v>
      </c>
      <c r="P6" s="19">
        <v>280</v>
      </c>
      <c r="Q6" s="20">
        <v>0.46153846153846201</v>
      </c>
    </row>
    <row r="7" spans="1:17" ht="17" thickTop="1" thickBot="1" x14ac:dyDescent="0.25">
      <c r="A7" s="18">
        <v>302</v>
      </c>
      <c r="B7" s="19" t="s">
        <v>122</v>
      </c>
      <c r="C7" s="19" t="s">
        <v>340</v>
      </c>
      <c r="D7" s="19" t="s">
        <v>338</v>
      </c>
      <c r="E7" s="19">
        <v>1001</v>
      </c>
      <c r="F7" s="19">
        <v>22</v>
      </c>
      <c r="G7" s="19">
        <v>42</v>
      </c>
      <c r="H7" s="19">
        <v>0.21</v>
      </c>
      <c r="I7" s="19">
        <v>14</v>
      </c>
      <c r="J7" s="19">
        <v>6</v>
      </c>
      <c r="K7" s="19">
        <v>24</v>
      </c>
      <c r="L7" s="19">
        <v>2</v>
      </c>
      <c r="M7" s="19" t="s">
        <v>465</v>
      </c>
      <c r="N7" s="19"/>
      <c r="O7" s="19" t="s">
        <v>160</v>
      </c>
      <c r="P7" s="19">
        <v>308</v>
      </c>
      <c r="Q7" s="20">
        <v>0.476190476190476</v>
      </c>
    </row>
    <row r="8" spans="1:17" ht="17" thickTop="1" thickBot="1" x14ac:dyDescent="0.25">
      <c r="A8" s="18">
        <v>401</v>
      </c>
      <c r="B8" s="19" t="s">
        <v>123</v>
      </c>
      <c r="C8" s="19" t="s">
        <v>341</v>
      </c>
      <c r="D8" s="19" t="s">
        <v>124</v>
      </c>
      <c r="E8" s="19">
        <v>1004</v>
      </c>
      <c r="F8" s="19">
        <v>38</v>
      </c>
      <c r="G8" s="19">
        <v>62</v>
      </c>
      <c r="H8" s="19">
        <v>0.21</v>
      </c>
      <c r="I8" s="19">
        <v>6</v>
      </c>
      <c r="J8" s="19">
        <v>3</v>
      </c>
      <c r="K8" s="19">
        <v>12</v>
      </c>
      <c r="L8" s="19">
        <v>3</v>
      </c>
      <c r="M8" s="19" t="s">
        <v>465</v>
      </c>
      <c r="N8" s="19" t="s">
        <v>342</v>
      </c>
      <c r="O8" s="19" t="s">
        <v>160</v>
      </c>
      <c r="P8" s="19">
        <v>228</v>
      </c>
      <c r="Q8" s="20">
        <v>0.38709677419354799</v>
      </c>
    </row>
    <row r="9" spans="1:17" ht="17" thickTop="1" thickBot="1" x14ac:dyDescent="0.25">
      <c r="A9" s="18">
        <v>402</v>
      </c>
      <c r="B9" s="19" t="s">
        <v>125</v>
      </c>
      <c r="C9" s="19" t="s">
        <v>343</v>
      </c>
      <c r="D9" s="19" t="s">
        <v>124</v>
      </c>
      <c r="E9" s="19">
        <v>1004</v>
      </c>
      <c r="F9" s="19">
        <v>24</v>
      </c>
      <c r="G9" s="19">
        <v>40</v>
      </c>
      <c r="H9" s="19">
        <v>0.21</v>
      </c>
      <c r="I9" s="19">
        <v>8</v>
      </c>
      <c r="J9" s="19">
        <v>4</v>
      </c>
      <c r="K9" s="19">
        <v>16</v>
      </c>
      <c r="L9" s="19">
        <v>3</v>
      </c>
      <c r="M9" s="19" t="s">
        <v>465</v>
      </c>
      <c r="N9" s="19"/>
      <c r="O9" s="19" t="s">
        <v>160</v>
      </c>
      <c r="P9" s="19">
        <v>192</v>
      </c>
      <c r="Q9" s="20">
        <v>0.4</v>
      </c>
    </row>
    <row r="10" spans="1:17" ht="17" thickTop="1" thickBot="1" x14ac:dyDescent="0.25">
      <c r="A10" s="18">
        <v>501</v>
      </c>
      <c r="B10" s="19" t="s">
        <v>126</v>
      </c>
      <c r="C10" s="19" t="s">
        <v>344</v>
      </c>
      <c r="D10" s="19" t="s">
        <v>89</v>
      </c>
      <c r="E10" s="19">
        <v>1005</v>
      </c>
      <c r="F10" s="19">
        <v>145</v>
      </c>
      <c r="G10" s="19">
        <v>220</v>
      </c>
      <c r="H10" s="19">
        <v>0.21</v>
      </c>
      <c r="I10" s="19">
        <v>4</v>
      </c>
      <c r="J10" s="19">
        <v>2</v>
      </c>
      <c r="K10" s="19">
        <v>8</v>
      </c>
      <c r="L10" s="19">
        <v>5</v>
      </c>
      <c r="M10" s="19" t="s">
        <v>465</v>
      </c>
      <c r="N10" s="19" t="s">
        <v>345</v>
      </c>
      <c r="O10" s="19" t="s">
        <v>160</v>
      </c>
      <c r="P10" s="19">
        <v>580</v>
      </c>
      <c r="Q10" s="20">
        <v>0.34090909090909099</v>
      </c>
    </row>
    <row r="11" spans="1:17" ht="17" thickTop="1" thickBot="1" x14ac:dyDescent="0.25">
      <c r="A11" s="18">
        <v>502</v>
      </c>
      <c r="B11" s="19" t="s">
        <v>127</v>
      </c>
      <c r="C11" s="19" t="s">
        <v>346</v>
      </c>
      <c r="D11" s="19" t="s">
        <v>89</v>
      </c>
      <c r="E11" s="19">
        <v>1005</v>
      </c>
      <c r="F11" s="19">
        <v>28</v>
      </c>
      <c r="G11" s="19">
        <v>55</v>
      </c>
      <c r="H11" s="19">
        <v>0.21</v>
      </c>
      <c r="I11" s="19">
        <v>8</v>
      </c>
      <c r="J11" s="19">
        <v>4</v>
      </c>
      <c r="K11" s="19">
        <v>16</v>
      </c>
      <c r="L11" s="19">
        <v>5</v>
      </c>
      <c r="M11" s="19" t="s">
        <v>465</v>
      </c>
      <c r="N11" s="19"/>
      <c r="O11" s="19" t="s">
        <v>160</v>
      </c>
      <c r="P11" s="19">
        <v>224</v>
      </c>
      <c r="Q11" s="20">
        <v>0.49090909090909102</v>
      </c>
    </row>
    <row r="12" spans="1:17" ht="17" thickTop="1" thickBot="1" x14ac:dyDescent="0.25">
      <c r="A12" s="18">
        <v>601</v>
      </c>
      <c r="B12" s="19" t="s">
        <v>128</v>
      </c>
      <c r="C12" s="19" t="s">
        <v>347</v>
      </c>
      <c r="D12" s="19" t="s">
        <v>129</v>
      </c>
      <c r="E12" s="19">
        <v>1001</v>
      </c>
      <c r="F12" s="19">
        <v>22</v>
      </c>
      <c r="G12" s="19">
        <v>38</v>
      </c>
      <c r="H12" s="19">
        <v>0.21</v>
      </c>
      <c r="I12" s="19">
        <v>20</v>
      </c>
      <c r="J12" s="19">
        <v>10</v>
      </c>
      <c r="K12" s="19">
        <v>40</v>
      </c>
      <c r="L12" s="19">
        <v>2</v>
      </c>
      <c r="M12" s="19" t="s">
        <v>465</v>
      </c>
      <c r="N12" s="19" t="s">
        <v>130</v>
      </c>
      <c r="O12" s="19" t="s">
        <v>160</v>
      </c>
      <c r="P12" s="19">
        <v>440</v>
      </c>
      <c r="Q12" s="20">
        <v>0.42105263157894701</v>
      </c>
    </row>
    <row r="13" spans="1:17" ht="17" thickTop="1" thickBot="1" x14ac:dyDescent="0.25">
      <c r="A13" s="21">
        <v>602</v>
      </c>
      <c r="B13" s="22" t="s">
        <v>348</v>
      </c>
      <c r="C13" s="22" t="s">
        <v>349</v>
      </c>
      <c r="D13" s="22" t="s">
        <v>129</v>
      </c>
      <c r="E13" s="22">
        <v>1001</v>
      </c>
      <c r="F13" s="22">
        <v>4.5</v>
      </c>
      <c r="G13" s="22">
        <v>9</v>
      </c>
      <c r="H13" s="22">
        <v>0.21</v>
      </c>
      <c r="I13" s="22">
        <v>25</v>
      </c>
      <c r="J13" s="22">
        <v>10</v>
      </c>
      <c r="K13" s="22">
        <v>50</v>
      </c>
      <c r="L13" s="22">
        <v>2</v>
      </c>
      <c r="M13" s="19" t="s">
        <v>465</v>
      </c>
      <c r="N13" s="22"/>
      <c r="O13" s="22" t="s">
        <v>160</v>
      </c>
      <c r="P13" s="22">
        <v>112.5</v>
      </c>
      <c r="Q13" s="23">
        <v>0.5</v>
      </c>
    </row>
    <row r="14" spans="1:17" ht="20" customHeight="1" thickTop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7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">
      <c r="O100" s="1"/>
      <c r="P100" s="1"/>
      <c r="Q10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"/>
  <sheetViews>
    <sheetView showGridLines="0" workbookViewId="0">
      <selection activeCell="L9" sqref="L9"/>
    </sheetView>
  </sheetViews>
  <sheetFormatPr baseColWidth="10" defaultColWidth="9.1640625" defaultRowHeight="15" x14ac:dyDescent="0.2"/>
  <cols>
    <col min="1" max="1" width="10" bestFit="1" customWidth="1"/>
    <col min="2" max="2" width="8.5" bestFit="1" customWidth="1"/>
    <col min="3" max="3" width="9.5" bestFit="1" customWidth="1"/>
    <col min="4" max="4" width="14" bestFit="1" customWidth="1"/>
    <col min="5" max="5" width="8.83203125" bestFit="1" customWidth="1"/>
    <col min="6" max="6" width="7.5" bestFit="1" customWidth="1"/>
    <col min="7" max="7" width="43.33203125" bestFit="1" customWidth="1"/>
    <col min="8" max="8" width="12.1640625" bestFit="1" customWidth="1"/>
    <col min="9" max="9" width="8.83203125" bestFit="1" customWidth="1"/>
    <col min="10" max="10" width="6.33203125" bestFit="1" customWidth="1"/>
    <col min="11" max="11" width="9.6640625" bestFit="1" customWidth="1"/>
    <col min="12" max="12" width="6.5" bestFit="1" customWidth="1"/>
    <col min="13" max="13" width="27.83203125" bestFit="1" customWidth="1"/>
    <col min="14" max="14" width="10" bestFit="1" customWidth="1"/>
    <col min="15" max="15" width="11.83203125" bestFit="1" customWidth="1"/>
    <col min="16" max="16" width="16.6640625" bestFit="1" customWidth="1"/>
    <col min="17" max="17" width="14.1640625" bestFit="1" customWidth="1"/>
    <col min="18" max="18" width="24.5" bestFit="1" customWidth="1"/>
  </cols>
  <sheetData>
    <row r="1" spans="1:18" s="4" customFormat="1" ht="16" thickBot="1" x14ac:dyDescent="0.25">
      <c r="A1" s="13" t="s">
        <v>350</v>
      </c>
      <c r="B1" s="14" t="s">
        <v>197</v>
      </c>
      <c r="C1" s="14" t="s">
        <v>180</v>
      </c>
      <c r="D1" s="14" t="s">
        <v>351</v>
      </c>
      <c r="E1" s="14" t="s">
        <v>352</v>
      </c>
      <c r="F1" s="14" t="s">
        <v>353</v>
      </c>
      <c r="G1" s="14" t="s">
        <v>354</v>
      </c>
      <c r="H1" s="14" t="s">
        <v>355</v>
      </c>
      <c r="I1" s="14" t="s">
        <v>356</v>
      </c>
      <c r="J1" s="14" t="s">
        <v>357</v>
      </c>
      <c r="K1" s="14" t="s">
        <v>358</v>
      </c>
      <c r="L1" s="14" t="s">
        <v>359</v>
      </c>
      <c r="M1" s="14" t="s">
        <v>193</v>
      </c>
      <c r="N1" s="14" t="s">
        <v>360</v>
      </c>
      <c r="O1" s="14" t="s">
        <v>361</v>
      </c>
      <c r="P1" s="14" t="s">
        <v>362</v>
      </c>
      <c r="Q1" s="14" t="s">
        <v>363</v>
      </c>
      <c r="R1" s="15" t="s">
        <v>364</v>
      </c>
    </row>
    <row r="2" spans="1:18" ht="17" thickTop="1" thickBot="1" x14ac:dyDescent="0.25">
      <c r="A2" s="18" t="s">
        <v>131</v>
      </c>
      <c r="B2" s="19" t="s">
        <v>38</v>
      </c>
      <c r="C2" s="19">
        <v>1</v>
      </c>
      <c r="D2" s="19" t="s">
        <v>365</v>
      </c>
      <c r="E2" s="24">
        <v>46082</v>
      </c>
      <c r="F2" s="19">
        <v>45200</v>
      </c>
      <c r="G2" s="19" t="s">
        <v>366</v>
      </c>
      <c r="H2" s="19">
        <v>2.5</v>
      </c>
      <c r="I2" s="24">
        <v>46082</v>
      </c>
      <c r="J2" s="19">
        <v>45200</v>
      </c>
      <c r="K2" s="19">
        <v>2</v>
      </c>
      <c r="L2" s="19" t="s">
        <v>466</v>
      </c>
      <c r="M2" s="19" t="s">
        <v>367</v>
      </c>
      <c r="N2" s="19">
        <v>2</v>
      </c>
      <c r="O2" s="19" t="s">
        <v>368</v>
      </c>
      <c r="P2" s="19">
        <v>0</v>
      </c>
      <c r="Q2" s="19" t="s">
        <v>158</v>
      </c>
      <c r="R2" s="20" t="s">
        <v>369</v>
      </c>
    </row>
    <row r="3" spans="1:18" ht="17" thickTop="1" thickBot="1" x14ac:dyDescent="0.25">
      <c r="A3" s="18" t="s">
        <v>132</v>
      </c>
      <c r="B3" s="19" t="s">
        <v>43</v>
      </c>
      <c r="C3" s="19">
        <v>2</v>
      </c>
      <c r="D3" s="19" t="s">
        <v>365</v>
      </c>
      <c r="E3" s="24">
        <v>46083</v>
      </c>
      <c r="F3" s="19">
        <v>98700</v>
      </c>
      <c r="G3" s="19" t="s">
        <v>370</v>
      </c>
      <c r="H3" s="19">
        <v>6.5</v>
      </c>
      <c r="I3" s="24">
        <v>46086</v>
      </c>
      <c r="J3" s="19">
        <v>98700</v>
      </c>
      <c r="K3" s="19">
        <v>2</v>
      </c>
      <c r="L3" s="19" t="s">
        <v>466</v>
      </c>
      <c r="M3" s="19" t="s">
        <v>371</v>
      </c>
      <c r="N3" s="19">
        <v>2</v>
      </c>
      <c r="O3" s="19" t="s">
        <v>368</v>
      </c>
      <c r="P3" s="19">
        <v>3</v>
      </c>
      <c r="Q3" s="19" t="s">
        <v>372</v>
      </c>
      <c r="R3" s="20" t="s">
        <v>373</v>
      </c>
    </row>
    <row r="4" spans="1:18" ht="17" thickTop="1" thickBot="1" x14ac:dyDescent="0.25">
      <c r="A4" s="18" t="s">
        <v>133</v>
      </c>
      <c r="B4" s="19" t="s">
        <v>49</v>
      </c>
      <c r="C4" s="19">
        <v>3</v>
      </c>
      <c r="D4" s="19" t="s">
        <v>374</v>
      </c>
      <c r="E4" s="24">
        <v>46096</v>
      </c>
      <c r="F4" s="19">
        <v>38700</v>
      </c>
      <c r="G4" s="19" t="s">
        <v>375</v>
      </c>
      <c r="H4" s="19">
        <v>2</v>
      </c>
      <c r="I4" s="19"/>
      <c r="J4" s="19"/>
      <c r="K4" s="19"/>
      <c r="L4" s="19" t="s">
        <v>466</v>
      </c>
      <c r="M4" s="19"/>
      <c r="N4" s="19"/>
      <c r="O4" s="19" t="s">
        <v>376</v>
      </c>
      <c r="P4" s="19"/>
      <c r="Q4" s="19" t="s">
        <v>372</v>
      </c>
      <c r="R4" s="20" t="s">
        <v>377</v>
      </c>
    </row>
    <row r="5" spans="1:18" ht="17" thickTop="1" thickBot="1" x14ac:dyDescent="0.25">
      <c r="A5" s="18" t="s">
        <v>134</v>
      </c>
      <c r="B5" s="19" t="s">
        <v>53</v>
      </c>
      <c r="C5" s="19">
        <v>4</v>
      </c>
      <c r="D5" s="19" t="s">
        <v>378</v>
      </c>
      <c r="E5" s="24">
        <v>46097</v>
      </c>
      <c r="F5" s="19">
        <v>223100</v>
      </c>
      <c r="G5" s="19" t="s">
        <v>379</v>
      </c>
      <c r="H5" s="19">
        <v>10</v>
      </c>
      <c r="I5" s="19"/>
      <c r="J5" s="19"/>
      <c r="K5" s="19"/>
      <c r="L5" s="19" t="s">
        <v>466</v>
      </c>
      <c r="M5" s="19" t="s">
        <v>380</v>
      </c>
      <c r="N5" s="19">
        <v>2</v>
      </c>
      <c r="O5" s="19" t="s">
        <v>368</v>
      </c>
      <c r="P5" s="19"/>
      <c r="Q5" s="19" t="s">
        <v>372</v>
      </c>
      <c r="R5" s="20" t="s">
        <v>381</v>
      </c>
    </row>
    <row r="6" spans="1:18" ht="17" thickTop="1" thickBot="1" x14ac:dyDescent="0.25">
      <c r="A6" s="21" t="s">
        <v>135</v>
      </c>
      <c r="B6" s="22" t="s">
        <v>57</v>
      </c>
      <c r="C6" s="22">
        <v>5</v>
      </c>
      <c r="D6" s="22" t="s">
        <v>382</v>
      </c>
      <c r="E6" s="25">
        <v>46101</v>
      </c>
      <c r="F6" s="22">
        <v>22100</v>
      </c>
      <c r="G6" s="22" t="s">
        <v>383</v>
      </c>
      <c r="H6" s="22">
        <v>1</v>
      </c>
      <c r="I6" s="22"/>
      <c r="J6" s="22"/>
      <c r="K6" s="22"/>
      <c r="L6" s="19" t="s">
        <v>466</v>
      </c>
      <c r="M6" s="22"/>
      <c r="N6" s="22"/>
      <c r="O6" s="22" t="s">
        <v>376</v>
      </c>
      <c r="P6" s="22"/>
      <c r="Q6" s="22" t="s">
        <v>372</v>
      </c>
      <c r="R6" s="23" t="s">
        <v>384</v>
      </c>
    </row>
    <row r="7" spans="1:18" ht="24" customHeight="1" thickTop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8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8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8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8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8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">
      <c r="N100" s="1"/>
      <c r="O100" s="1"/>
      <c r="P100" s="1"/>
      <c r="Q100" s="1"/>
    </row>
  </sheetData>
  <conditionalFormatting sqref="O8:O30">
    <cfRule type="expression" dxfId="4" priority="1">
      <formula>O8="Pendiente"</formula>
    </cfRule>
  </conditionalFormatting>
  <conditionalFormatting sqref="Q8:Q30">
    <cfRule type="expression" dxfId="3" priority="2">
      <formula>Q8="Sí"</formula>
    </cfRule>
  </conditionalFormatting>
  <dataValidations count="2">
    <dataValidation type="list" sqref="O8:O30 O2:O6" xr:uid="{00000000-0002-0000-0700-000000000000}">
      <formula1>"Pendiente,Aprobada,Rechazada"</formula1>
    </dataValidation>
    <dataValidation type="list" sqref="Q8:Q30 Q2:Q6" xr:uid="{00000000-0002-0000-0700-000001000000}">
      <formula1>"Sí,No"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0"/>
  <sheetViews>
    <sheetView showGridLines="0" workbookViewId="0">
      <selection activeCell="M31" sqref="M31"/>
    </sheetView>
  </sheetViews>
  <sheetFormatPr baseColWidth="10" defaultColWidth="9.1640625" defaultRowHeight="15" x14ac:dyDescent="0.2"/>
  <cols>
    <col min="1" max="1" width="5.6640625" bestFit="1" customWidth="1"/>
    <col min="2" max="2" width="10" bestFit="1" customWidth="1"/>
    <col min="3" max="3" width="7.5" bestFit="1" customWidth="1"/>
    <col min="4" max="4" width="8" bestFit="1" customWidth="1"/>
    <col min="5" max="5" width="8.1640625" customWidth="1"/>
    <col min="6" max="6" width="9.6640625" bestFit="1" customWidth="1"/>
    <col min="7" max="7" width="7" bestFit="1" customWidth="1"/>
    <col min="8" max="9" width="11" bestFit="1" customWidth="1"/>
    <col min="10" max="10" width="9.1640625" bestFit="1" customWidth="1"/>
    <col min="11" max="11" width="10.83203125" bestFit="1" customWidth="1"/>
    <col min="12" max="12" width="28.83203125" bestFit="1" customWidth="1"/>
    <col min="13" max="13" width="15" customWidth="1"/>
    <col min="14" max="14" width="10.5" customWidth="1"/>
    <col min="15" max="15" width="11.83203125" bestFit="1" customWidth="1"/>
    <col min="16" max="16" width="12.5" customWidth="1"/>
    <col min="17" max="17" width="15.83203125" customWidth="1"/>
  </cols>
  <sheetData>
    <row r="1" spans="1:17" ht="16" thickBot="1" x14ac:dyDescent="0.25">
      <c r="A1" s="13" t="s">
        <v>385</v>
      </c>
      <c r="B1" s="14" t="s">
        <v>350</v>
      </c>
      <c r="C1" s="14" t="s">
        <v>386</v>
      </c>
      <c r="D1" s="14" t="s">
        <v>251</v>
      </c>
      <c r="E1" s="14" t="s">
        <v>317</v>
      </c>
      <c r="F1" s="14" t="s">
        <v>218</v>
      </c>
      <c r="G1" s="14" t="s">
        <v>387</v>
      </c>
      <c r="H1" s="14" t="s">
        <v>388</v>
      </c>
      <c r="I1" s="14" t="s">
        <v>389</v>
      </c>
      <c r="J1" s="14" t="s">
        <v>303</v>
      </c>
      <c r="K1" s="14" t="s">
        <v>390</v>
      </c>
      <c r="L1" s="15" t="s">
        <v>193</v>
      </c>
    </row>
    <row r="2" spans="1:17" ht="32" thickTop="1" thickBot="1" x14ac:dyDescent="0.25">
      <c r="A2" s="18">
        <v>1</v>
      </c>
      <c r="B2" s="19" t="s">
        <v>131</v>
      </c>
      <c r="C2" s="19" t="s">
        <v>391</v>
      </c>
      <c r="D2" s="19">
        <v>101</v>
      </c>
      <c r="E2" s="19"/>
      <c r="F2" s="19">
        <v>301</v>
      </c>
      <c r="G2" s="19">
        <v>1</v>
      </c>
      <c r="H2" s="19">
        <v>1.5</v>
      </c>
      <c r="I2" s="19">
        <v>45</v>
      </c>
      <c r="J2" s="19">
        <v>0</v>
      </c>
      <c r="K2" s="26">
        <v>67.5</v>
      </c>
      <c r="L2" s="20" t="s">
        <v>392</v>
      </c>
    </row>
    <row r="3" spans="1:17" ht="17" thickTop="1" thickBot="1" x14ac:dyDescent="0.25">
      <c r="A3" s="18">
        <v>2</v>
      </c>
      <c r="B3" s="19" t="s">
        <v>131</v>
      </c>
      <c r="C3" s="19" t="s">
        <v>391</v>
      </c>
      <c r="D3" s="19">
        <v>103</v>
      </c>
      <c r="E3" s="19"/>
      <c r="F3" s="19">
        <v>303</v>
      </c>
      <c r="G3" s="19">
        <v>1</v>
      </c>
      <c r="H3" s="19">
        <v>1</v>
      </c>
      <c r="I3" s="19">
        <v>40</v>
      </c>
      <c r="J3" s="19">
        <v>0</v>
      </c>
      <c r="K3" s="26">
        <v>40</v>
      </c>
      <c r="L3" s="20" t="s">
        <v>393</v>
      </c>
    </row>
    <row r="4" spans="1:17" ht="17" thickTop="1" thickBot="1" x14ac:dyDescent="0.25">
      <c r="A4" s="18">
        <v>3</v>
      </c>
      <c r="B4" s="19" t="s">
        <v>131</v>
      </c>
      <c r="C4" s="19" t="s">
        <v>136</v>
      </c>
      <c r="D4" s="19"/>
      <c r="E4" s="19">
        <v>201</v>
      </c>
      <c r="F4" s="19"/>
      <c r="G4" s="19">
        <v>2</v>
      </c>
      <c r="H4" s="19"/>
      <c r="I4" s="19">
        <v>8.5</v>
      </c>
      <c r="J4" s="19">
        <v>0</v>
      </c>
      <c r="K4" s="26">
        <v>17</v>
      </c>
      <c r="L4" s="20" t="s">
        <v>467</v>
      </c>
    </row>
    <row r="5" spans="1:17" ht="17" thickTop="1" thickBot="1" x14ac:dyDescent="0.25">
      <c r="A5" s="18">
        <v>4</v>
      </c>
      <c r="B5" s="19" t="s">
        <v>131</v>
      </c>
      <c r="C5" s="19" t="s">
        <v>136</v>
      </c>
      <c r="D5" s="19"/>
      <c r="E5" s="19">
        <v>302</v>
      </c>
      <c r="F5" s="19"/>
      <c r="G5" s="19">
        <v>1</v>
      </c>
      <c r="H5" s="19"/>
      <c r="I5" s="19">
        <v>42</v>
      </c>
      <c r="J5" s="19">
        <v>0</v>
      </c>
      <c r="K5" s="26">
        <v>42</v>
      </c>
      <c r="L5" s="20" t="s">
        <v>468</v>
      </c>
    </row>
    <row r="6" spans="1:17" ht="17" thickTop="1" thickBot="1" x14ac:dyDescent="0.25">
      <c r="A6" s="18">
        <v>5</v>
      </c>
      <c r="B6" s="19" t="s">
        <v>131</v>
      </c>
      <c r="C6" s="19" t="s">
        <v>136</v>
      </c>
      <c r="D6" s="19"/>
      <c r="E6" s="19">
        <v>601</v>
      </c>
      <c r="F6" s="19"/>
      <c r="G6" s="19">
        <v>4</v>
      </c>
      <c r="H6" s="19"/>
      <c r="I6" s="19">
        <v>38</v>
      </c>
      <c r="J6" s="19">
        <v>0</v>
      </c>
      <c r="K6" s="26">
        <v>152</v>
      </c>
      <c r="L6" s="20" t="s">
        <v>469</v>
      </c>
    </row>
    <row r="7" spans="1:17" ht="32" thickTop="1" thickBot="1" x14ac:dyDescent="0.25">
      <c r="A7" s="18">
        <v>6</v>
      </c>
      <c r="B7" s="19" t="s">
        <v>132</v>
      </c>
      <c r="C7" s="19" t="s">
        <v>391</v>
      </c>
      <c r="D7" s="19">
        <v>104</v>
      </c>
      <c r="E7" s="19"/>
      <c r="F7" s="19">
        <v>303</v>
      </c>
      <c r="G7" s="19">
        <v>1</v>
      </c>
      <c r="H7" s="19">
        <v>4.5</v>
      </c>
      <c r="I7" s="19">
        <v>45</v>
      </c>
      <c r="J7" s="19">
        <v>0</v>
      </c>
      <c r="K7" s="26">
        <v>202.5</v>
      </c>
      <c r="L7" s="20" t="s">
        <v>470</v>
      </c>
    </row>
    <row r="8" spans="1:17" ht="17" thickTop="1" thickBot="1" x14ac:dyDescent="0.25">
      <c r="A8" s="18">
        <v>7</v>
      </c>
      <c r="B8" s="19" t="s">
        <v>132</v>
      </c>
      <c r="C8" s="19" t="s">
        <v>391</v>
      </c>
      <c r="D8" s="19">
        <v>102</v>
      </c>
      <c r="E8" s="19"/>
      <c r="F8" s="19">
        <v>303</v>
      </c>
      <c r="G8" s="19">
        <v>1</v>
      </c>
      <c r="H8" s="19">
        <v>2</v>
      </c>
      <c r="I8" s="19">
        <v>45</v>
      </c>
      <c r="J8" s="19">
        <v>0</v>
      </c>
      <c r="K8" s="26">
        <v>90</v>
      </c>
      <c r="L8" s="20" t="s">
        <v>394</v>
      </c>
    </row>
    <row r="9" spans="1:17" ht="17" thickTop="1" thickBot="1" x14ac:dyDescent="0.25">
      <c r="A9" s="18">
        <v>8</v>
      </c>
      <c r="B9" s="19" t="s">
        <v>132</v>
      </c>
      <c r="C9" s="19" t="s">
        <v>136</v>
      </c>
      <c r="D9" s="19"/>
      <c r="E9" s="19">
        <v>201</v>
      </c>
      <c r="F9" s="19"/>
      <c r="G9" s="19">
        <v>1</v>
      </c>
      <c r="H9" s="19"/>
      <c r="I9" s="19">
        <v>8.5</v>
      </c>
      <c r="J9" s="19">
        <v>0.1</v>
      </c>
      <c r="K9" s="26">
        <v>7.65</v>
      </c>
      <c r="L9" s="20" t="s">
        <v>395</v>
      </c>
    </row>
    <row r="10" spans="1:17" ht="17" thickTop="1" thickBot="1" x14ac:dyDescent="0.25">
      <c r="A10" s="18">
        <v>9</v>
      </c>
      <c r="B10" s="19" t="s">
        <v>132</v>
      </c>
      <c r="C10" s="19" t="s">
        <v>136</v>
      </c>
      <c r="D10" s="19"/>
      <c r="E10" s="19">
        <v>601</v>
      </c>
      <c r="F10" s="19"/>
      <c r="G10" s="19">
        <v>4</v>
      </c>
      <c r="H10" s="19"/>
      <c r="I10" s="19">
        <v>38</v>
      </c>
      <c r="J10" s="19">
        <v>0.1</v>
      </c>
      <c r="K10" s="26">
        <v>136.80000000000001</v>
      </c>
      <c r="L10" s="20" t="s">
        <v>396</v>
      </c>
    </row>
    <row r="11" spans="1:17" ht="17" thickTop="1" thickBot="1" x14ac:dyDescent="0.25">
      <c r="A11" s="18">
        <v>10</v>
      </c>
      <c r="B11" s="19" t="s">
        <v>134</v>
      </c>
      <c r="C11" s="19" t="s">
        <v>391</v>
      </c>
      <c r="D11" s="19">
        <v>301</v>
      </c>
      <c r="E11" s="19"/>
      <c r="F11" s="19">
        <v>305</v>
      </c>
      <c r="G11" s="19">
        <v>1</v>
      </c>
      <c r="H11" s="19">
        <v>2.5</v>
      </c>
      <c r="I11" s="19">
        <v>40</v>
      </c>
      <c r="J11" s="19">
        <v>0</v>
      </c>
      <c r="K11" s="26">
        <v>100</v>
      </c>
      <c r="L11" s="20" t="s">
        <v>471</v>
      </c>
    </row>
    <row r="12" spans="1:17" ht="17" thickTop="1" thickBot="1" x14ac:dyDescent="0.25">
      <c r="A12" s="18">
        <v>11</v>
      </c>
      <c r="B12" s="19" t="s">
        <v>134</v>
      </c>
      <c r="C12" s="19" t="s">
        <v>391</v>
      </c>
      <c r="D12" s="19">
        <v>401</v>
      </c>
      <c r="E12" s="19"/>
      <c r="F12" s="19">
        <v>306</v>
      </c>
      <c r="G12" s="19">
        <v>1</v>
      </c>
      <c r="H12" s="19">
        <v>3</v>
      </c>
      <c r="I12" s="19">
        <v>40</v>
      </c>
      <c r="J12" s="19">
        <v>0</v>
      </c>
      <c r="K12" s="26">
        <v>120</v>
      </c>
      <c r="L12" s="20" t="s">
        <v>397</v>
      </c>
    </row>
    <row r="13" spans="1:17" ht="17" thickTop="1" thickBot="1" x14ac:dyDescent="0.25">
      <c r="A13" s="18">
        <v>12</v>
      </c>
      <c r="B13" s="19" t="s">
        <v>134</v>
      </c>
      <c r="C13" s="19" t="s">
        <v>136</v>
      </c>
      <c r="D13" s="19"/>
      <c r="E13" s="19">
        <v>401</v>
      </c>
      <c r="F13" s="19"/>
      <c r="G13" s="19">
        <v>1</v>
      </c>
      <c r="H13" s="19"/>
      <c r="I13" s="19">
        <v>62</v>
      </c>
      <c r="J13" s="19">
        <v>0</v>
      </c>
      <c r="K13" s="26">
        <v>62</v>
      </c>
      <c r="L13" s="20" t="s">
        <v>398</v>
      </c>
    </row>
    <row r="14" spans="1:17" ht="16" thickTop="1" x14ac:dyDescent="0.2">
      <c r="A14" s="21">
        <v>13</v>
      </c>
      <c r="B14" s="22" t="s">
        <v>134</v>
      </c>
      <c r="C14" s="22" t="s">
        <v>136</v>
      </c>
      <c r="D14" s="22"/>
      <c r="E14" s="22">
        <v>402</v>
      </c>
      <c r="F14" s="22"/>
      <c r="G14" s="22">
        <v>1</v>
      </c>
      <c r="H14" s="22"/>
      <c r="I14" s="22">
        <v>40</v>
      </c>
      <c r="J14" s="22">
        <v>0</v>
      </c>
      <c r="K14" s="27">
        <v>40</v>
      </c>
      <c r="L14" s="23" t="s">
        <v>472</v>
      </c>
    </row>
    <row r="15" spans="1:17" ht="20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">
      <c r="M100" s="1"/>
      <c r="N100" s="1"/>
      <c r="O100" s="1"/>
      <c r="P100" s="1"/>
      <c r="Q100" s="1"/>
    </row>
  </sheetData>
  <dataValidations count="1">
    <dataValidation type="list" sqref="M16:M50" xr:uid="{00000000-0002-0000-0800-000000000000}">
      <formula1>"Sí,No"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0"/>
  <sheetViews>
    <sheetView showGridLines="0" topLeftCell="I1" workbookViewId="0">
      <selection activeCell="P35" sqref="P35"/>
    </sheetView>
  </sheetViews>
  <sheetFormatPr baseColWidth="10" defaultColWidth="9.1640625" defaultRowHeight="15" x14ac:dyDescent="0.2"/>
  <cols>
    <col min="1" max="1" width="10.6640625" bestFit="1" customWidth="1"/>
    <col min="2" max="2" width="10" bestFit="1" customWidth="1"/>
    <col min="3" max="3" width="9.5" bestFit="1" customWidth="1"/>
    <col min="4" max="5" width="8.83203125" bestFit="1" customWidth="1"/>
    <col min="6" max="6" width="10" bestFit="1" customWidth="1"/>
    <col min="7" max="7" width="13" bestFit="1" customWidth="1"/>
    <col min="8" max="8" width="7.83203125" bestFit="1" customWidth="1"/>
    <col min="9" max="9" width="11.6640625" bestFit="1" customWidth="1"/>
    <col min="10" max="10" width="10.6640625" customWidth="1"/>
    <col min="11" max="11" width="12.83203125" bestFit="1" customWidth="1"/>
    <col min="12" max="12" width="13" customWidth="1"/>
    <col min="13" max="13" width="26.33203125" bestFit="1" customWidth="1"/>
    <col min="14" max="14" width="7.6640625" bestFit="1" customWidth="1"/>
    <col min="15" max="15" width="10" bestFit="1" customWidth="1"/>
    <col min="16" max="16" width="16" bestFit="1" customWidth="1"/>
    <col min="17" max="17" width="21.1640625" bestFit="1" customWidth="1"/>
  </cols>
  <sheetData>
    <row r="1" spans="1:17" x14ac:dyDescent="0.2">
      <c r="A1" s="3" t="s">
        <v>399</v>
      </c>
      <c r="B1" s="3" t="s">
        <v>350</v>
      </c>
      <c r="C1" s="3" t="s">
        <v>180</v>
      </c>
      <c r="D1" s="3" t="s">
        <v>400</v>
      </c>
      <c r="E1" s="3" t="s">
        <v>401</v>
      </c>
      <c r="F1" s="3" t="s">
        <v>402</v>
      </c>
      <c r="G1" s="3" t="s">
        <v>403</v>
      </c>
      <c r="H1" s="3" t="s">
        <v>404</v>
      </c>
      <c r="I1" s="3" t="s">
        <v>405</v>
      </c>
      <c r="J1" s="3" t="s">
        <v>406</v>
      </c>
      <c r="K1" s="3" t="s">
        <v>407</v>
      </c>
      <c r="L1" s="3" t="s">
        <v>408</v>
      </c>
      <c r="M1" s="3" t="s">
        <v>193</v>
      </c>
      <c r="N1" s="3" t="s">
        <v>409</v>
      </c>
      <c r="O1" s="3" t="s">
        <v>360</v>
      </c>
      <c r="P1" s="3" t="s">
        <v>410</v>
      </c>
      <c r="Q1" s="3" t="s">
        <v>411</v>
      </c>
    </row>
    <row r="2" spans="1:17" x14ac:dyDescent="0.2">
      <c r="A2" s="5" t="s">
        <v>137</v>
      </c>
      <c r="B2" s="5" t="s">
        <v>131</v>
      </c>
      <c r="C2" s="5">
        <v>1</v>
      </c>
      <c r="D2" s="6">
        <v>46082</v>
      </c>
      <c r="E2" s="6">
        <v>46082</v>
      </c>
      <c r="F2" s="5">
        <v>282.98</v>
      </c>
      <c r="G2" s="5">
        <v>59.43</v>
      </c>
      <c r="H2" s="5">
        <v>342.41</v>
      </c>
      <c r="I2" s="5" t="s">
        <v>138</v>
      </c>
      <c r="J2" s="6">
        <v>46082</v>
      </c>
      <c r="K2" s="5" t="s">
        <v>139</v>
      </c>
      <c r="L2" s="5">
        <v>0</v>
      </c>
      <c r="M2" s="5" t="s">
        <v>140</v>
      </c>
      <c r="N2" s="5">
        <v>501</v>
      </c>
      <c r="O2" s="5">
        <v>2</v>
      </c>
      <c r="P2" s="5" t="s">
        <v>160</v>
      </c>
      <c r="Q2" s="5" t="s">
        <v>161</v>
      </c>
    </row>
    <row r="3" spans="1:17" x14ac:dyDescent="0.2">
      <c r="A3" s="5" t="s">
        <v>141</v>
      </c>
      <c r="B3" s="5" t="s">
        <v>132</v>
      </c>
      <c r="C3" s="5">
        <v>2</v>
      </c>
      <c r="D3" s="6">
        <v>46086</v>
      </c>
      <c r="E3" s="6">
        <v>46116</v>
      </c>
      <c r="F3" s="5">
        <v>612.25</v>
      </c>
      <c r="G3" s="5">
        <v>128.57</v>
      </c>
      <c r="H3" s="5">
        <v>740.82</v>
      </c>
      <c r="I3" s="5" t="s">
        <v>376</v>
      </c>
      <c r="J3" s="5"/>
      <c r="K3" s="5" t="s">
        <v>142</v>
      </c>
      <c r="L3" s="5">
        <v>65</v>
      </c>
      <c r="M3" s="5" t="s">
        <v>412</v>
      </c>
      <c r="N3" s="5">
        <v>501</v>
      </c>
      <c r="O3" s="5">
        <v>2</v>
      </c>
      <c r="P3" s="5" t="s">
        <v>413</v>
      </c>
      <c r="Q3" s="5" t="s">
        <v>162</v>
      </c>
    </row>
    <row r="4" spans="1:17" x14ac:dyDescent="0.2">
      <c r="A4" s="5" t="s">
        <v>143</v>
      </c>
      <c r="B4" s="5" t="s">
        <v>134</v>
      </c>
      <c r="C4" s="5">
        <v>4</v>
      </c>
      <c r="D4" s="5"/>
      <c r="E4" s="5"/>
      <c r="F4" s="5"/>
      <c r="G4" s="5"/>
      <c r="H4" s="5"/>
      <c r="I4" s="5" t="s">
        <v>414</v>
      </c>
      <c r="J4" s="5"/>
      <c r="K4" s="5"/>
      <c r="L4" s="5"/>
      <c r="M4" s="5" t="s">
        <v>415</v>
      </c>
      <c r="N4" s="5"/>
      <c r="O4" s="5"/>
      <c r="P4" s="5" t="s">
        <v>414</v>
      </c>
      <c r="Q4" s="5" t="s">
        <v>416</v>
      </c>
    </row>
    <row r="5" spans="1:17" ht="20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7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1"/>
    </row>
    <row r="7" spans="1:17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s="1"/>
    </row>
    <row r="8" spans="1:17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Q8" s="1"/>
    </row>
    <row r="9" spans="1:17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Q9" s="1"/>
    </row>
    <row r="10" spans="1:17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Q10" s="1"/>
    </row>
    <row r="11" spans="1:17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Q11" s="1"/>
    </row>
    <row r="12" spans="1:17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Q12" s="1"/>
    </row>
    <row r="13" spans="1:17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1"/>
    </row>
    <row r="14" spans="1:1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1"/>
    </row>
    <row r="15" spans="1:17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1"/>
    </row>
    <row r="16" spans="1: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Q16" s="1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Q17" s="1"/>
    </row>
    <row r="18" spans="1:1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Q18" s="1"/>
    </row>
    <row r="19" spans="1: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Q19" s="1"/>
    </row>
    <row r="20" spans="1:1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Q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Q21" s="1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Q22" s="1"/>
    </row>
    <row r="23" spans="1:1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Q23" s="1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Q24" s="1"/>
    </row>
    <row r="25" spans="1: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Q25" s="1"/>
    </row>
    <row r="26" spans="1:1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Q26" s="1"/>
    </row>
    <row r="27" spans="1:1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Q27" s="1"/>
    </row>
    <row r="28" spans="1: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Q28" s="1"/>
    </row>
    <row r="29" spans="1: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Q29" s="1"/>
    </row>
    <row r="30" spans="1: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Q30" s="1"/>
    </row>
    <row r="31" spans="1: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Q31" s="1"/>
    </row>
    <row r="32" spans="1:1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Q32" s="1"/>
    </row>
    <row r="33" spans="1: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Q33" s="1"/>
    </row>
    <row r="34" spans="1: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Q34" s="1"/>
    </row>
    <row r="35" spans="1: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Q35" s="1"/>
    </row>
    <row r="36" spans="1: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">
      <c r="N100" s="1"/>
      <c r="O100" s="1"/>
      <c r="P100" s="1"/>
      <c r="Q1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00"/>
  <sheetViews>
    <sheetView showGridLines="0" workbookViewId="0">
      <selection activeCell="J33" sqref="J33"/>
    </sheetView>
  </sheetViews>
  <sheetFormatPr baseColWidth="10" defaultColWidth="9.1640625" defaultRowHeight="15" x14ac:dyDescent="0.2"/>
  <cols>
    <col min="1" max="1" width="10" bestFit="1" customWidth="1"/>
    <col min="2" max="2" width="6.6640625" bestFit="1" customWidth="1"/>
    <col min="3" max="3" width="8.83203125" bestFit="1" customWidth="1"/>
    <col min="4" max="4" width="13.33203125" bestFit="1" customWidth="1"/>
    <col min="5" max="5" width="11.33203125" customWidth="1"/>
    <col min="6" max="6" width="10.6640625" customWidth="1"/>
    <col min="7" max="7" width="14.33203125" bestFit="1" customWidth="1"/>
    <col min="8" max="8" width="5" bestFit="1" customWidth="1"/>
    <col min="9" max="9" width="24.83203125" bestFit="1" customWidth="1"/>
    <col min="10" max="10" width="10" bestFit="1" customWidth="1"/>
    <col min="11" max="11" width="18" bestFit="1" customWidth="1"/>
    <col min="12" max="12" width="17.5" bestFit="1" customWidth="1"/>
    <col min="13" max="13" width="24.5" bestFit="1" customWidth="1"/>
  </cols>
  <sheetData>
    <row r="1" spans="1:17" x14ac:dyDescent="0.2">
      <c r="A1" s="33" t="s">
        <v>417</v>
      </c>
      <c r="B1" s="33"/>
      <c r="C1" s="33"/>
      <c r="D1" s="33"/>
      <c r="E1" s="33"/>
      <c r="F1" s="33"/>
      <c r="G1" s="33"/>
      <c r="H1" s="33"/>
      <c r="I1" s="33"/>
      <c r="J1" s="30"/>
      <c r="K1" s="30"/>
      <c r="L1" s="30"/>
      <c r="M1" s="30"/>
      <c r="N1" s="1"/>
      <c r="O1" s="1"/>
      <c r="P1" s="1"/>
      <c r="Q1" s="1"/>
    </row>
    <row r="2" spans="1:17" ht="30" x14ac:dyDescent="0.2">
      <c r="A2" s="3" t="s">
        <v>418</v>
      </c>
      <c r="B2" s="3" t="s">
        <v>299</v>
      </c>
      <c r="C2" s="3" t="s">
        <v>419</v>
      </c>
      <c r="D2" s="3" t="s">
        <v>420</v>
      </c>
      <c r="E2" s="3" t="s">
        <v>421</v>
      </c>
      <c r="F2" s="3" t="s">
        <v>406</v>
      </c>
      <c r="G2" s="3" t="s">
        <v>351</v>
      </c>
      <c r="H2" s="3" t="s">
        <v>404</v>
      </c>
      <c r="I2" s="3" t="s">
        <v>193</v>
      </c>
      <c r="J2" s="29" t="s">
        <v>360</v>
      </c>
      <c r="K2" s="29" t="s">
        <v>422</v>
      </c>
      <c r="L2" s="29" t="s">
        <v>423</v>
      </c>
      <c r="M2" s="29" t="s">
        <v>424</v>
      </c>
      <c r="N2" s="1"/>
      <c r="O2" s="1"/>
      <c r="P2" s="1"/>
      <c r="Q2" s="1"/>
    </row>
    <row r="3" spans="1:17" x14ac:dyDescent="0.2">
      <c r="A3" s="5" t="s">
        <v>144</v>
      </c>
      <c r="B3" s="5">
        <v>1001</v>
      </c>
      <c r="C3" s="6">
        <v>46081</v>
      </c>
      <c r="D3" s="6">
        <v>46083</v>
      </c>
      <c r="E3" s="6">
        <v>46083</v>
      </c>
      <c r="F3" s="6">
        <v>46081</v>
      </c>
      <c r="G3" s="5" t="s">
        <v>425</v>
      </c>
      <c r="H3" s="5">
        <v>347.5</v>
      </c>
      <c r="I3" s="5" t="s">
        <v>476</v>
      </c>
      <c r="J3" s="28">
        <v>503</v>
      </c>
      <c r="K3" s="28" t="s">
        <v>163</v>
      </c>
      <c r="L3" s="28" t="s">
        <v>160</v>
      </c>
      <c r="M3" s="28" t="s">
        <v>426</v>
      </c>
      <c r="N3" s="1"/>
      <c r="O3" s="1"/>
      <c r="P3" s="1"/>
      <c r="Q3" s="1"/>
    </row>
    <row r="4" spans="1:17" x14ac:dyDescent="0.2">
      <c r="A4" s="5" t="s">
        <v>145</v>
      </c>
      <c r="B4" s="5">
        <v>1003</v>
      </c>
      <c r="C4" s="6">
        <v>46082</v>
      </c>
      <c r="D4" s="6">
        <v>46085</v>
      </c>
      <c r="E4" s="6">
        <v>46085</v>
      </c>
      <c r="F4" s="6">
        <v>46082</v>
      </c>
      <c r="G4" s="5" t="s">
        <v>425</v>
      </c>
      <c r="H4" s="5">
        <v>1176</v>
      </c>
      <c r="I4" s="5" t="s">
        <v>427</v>
      </c>
      <c r="J4" s="28">
        <v>503</v>
      </c>
      <c r="K4" s="28" t="s">
        <v>163</v>
      </c>
      <c r="L4" s="28" t="s">
        <v>160</v>
      </c>
      <c r="M4" s="28" t="s">
        <v>426</v>
      </c>
      <c r="N4" s="1"/>
      <c r="O4" s="1"/>
      <c r="P4" s="1"/>
      <c r="Q4" s="1"/>
    </row>
    <row r="5" spans="1:17" x14ac:dyDescent="0.2">
      <c r="A5" s="5" t="s">
        <v>146</v>
      </c>
      <c r="B5" s="5">
        <v>1004</v>
      </c>
      <c r="C5" s="6">
        <v>46091</v>
      </c>
      <c r="D5" s="6">
        <v>46094</v>
      </c>
      <c r="E5" s="5"/>
      <c r="F5" s="6">
        <v>46122</v>
      </c>
      <c r="G5" s="5" t="s">
        <v>428</v>
      </c>
      <c r="H5" s="5">
        <v>248</v>
      </c>
      <c r="I5" s="5" t="s">
        <v>429</v>
      </c>
      <c r="J5" s="28">
        <v>503</v>
      </c>
      <c r="K5" s="28" t="s">
        <v>430</v>
      </c>
      <c r="L5" s="28" t="s">
        <v>431</v>
      </c>
      <c r="M5" s="28" t="s">
        <v>432</v>
      </c>
      <c r="N5" s="1"/>
      <c r="O5" s="1"/>
      <c r="P5" s="1"/>
      <c r="Q5" s="1"/>
    </row>
    <row r="6" spans="1:17" x14ac:dyDescent="0.2">
      <c r="A6" s="5" t="s">
        <v>147</v>
      </c>
      <c r="B6" s="5">
        <v>1005</v>
      </c>
      <c r="C6" s="6">
        <v>46096</v>
      </c>
      <c r="D6" s="6">
        <v>46103</v>
      </c>
      <c r="E6" s="5"/>
      <c r="F6" s="6">
        <v>46111</v>
      </c>
      <c r="G6" s="5" t="s">
        <v>428</v>
      </c>
      <c r="H6" s="5">
        <v>673</v>
      </c>
      <c r="I6" s="5" t="s">
        <v>477</v>
      </c>
      <c r="J6" s="28">
        <v>503</v>
      </c>
      <c r="K6" s="28" t="s">
        <v>430</v>
      </c>
      <c r="L6" s="28" t="s">
        <v>431</v>
      </c>
      <c r="M6" s="28" t="s">
        <v>164</v>
      </c>
      <c r="N6" s="1"/>
      <c r="O6" s="1"/>
      <c r="P6" s="1"/>
      <c r="Q6" s="1"/>
    </row>
    <row r="7" spans="1:17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1">
    <mergeCell ref="A1:I1"/>
  </mergeCells>
  <conditionalFormatting sqref="L3:L6">
    <cfRule type="expression" dxfId="2" priority="1">
      <formula>L3&lt;&gt;"OK"</formula>
    </cfRule>
  </conditionalFormatting>
  <dataValidations count="1">
    <dataValidation type="list" sqref="K3:K6" xr:uid="{00000000-0002-0000-0A00-000000000000}">
      <formula1>"Match,Parcial,Pendiente recepción,Diferencia precio,Diferencia cantidad"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showGridLines="0" workbookViewId="0">
      <selection activeCell="H2" sqref="H2:H11"/>
    </sheetView>
  </sheetViews>
  <sheetFormatPr baseColWidth="10" defaultColWidth="9.1640625" defaultRowHeight="15" x14ac:dyDescent="0.2"/>
  <cols>
    <col min="1" max="1" width="8" bestFit="1" customWidth="1"/>
    <col min="2" max="2" width="10" bestFit="1" customWidth="1"/>
    <col min="3" max="3" width="8.1640625" bestFit="1" customWidth="1"/>
    <col min="4" max="4" width="9.83203125" bestFit="1" customWidth="1"/>
    <col min="5" max="5" width="10.1640625" bestFit="1" customWidth="1"/>
    <col min="6" max="6" width="10.5" bestFit="1" customWidth="1"/>
    <col min="7" max="7" width="10.83203125" bestFit="1" customWidth="1"/>
    <col min="8" max="8" width="20.6640625" bestFit="1" customWidth="1"/>
  </cols>
  <sheetData>
    <row r="1" spans="1:8" x14ac:dyDescent="0.2">
      <c r="A1" s="3" t="s">
        <v>433</v>
      </c>
      <c r="B1" s="3" t="s">
        <v>418</v>
      </c>
      <c r="C1" s="3" t="s">
        <v>317</v>
      </c>
      <c r="D1" s="3" t="s">
        <v>434</v>
      </c>
      <c r="E1" s="3" t="s">
        <v>435</v>
      </c>
      <c r="F1" s="3" t="s">
        <v>436</v>
      </c>
      <c r="G1" s="3" t="s">
        <v>390</v>
      </c>
      <c r="H1" s="3" t="s">
        <v>193</v>
      </c>
    </row>
    <row r="2" spans="1:8" x14ac:dyDescent="0.2">
      <c r="A2" s="2">
        <v>1</v>
      </c>
      <c r="B2" s="2" t="s">
        <v>144</v>
      </c>
      <c r="C2" s="2">
        <v>201</v>
      </c>
      <c r="D2" s="2">
        <v>20</v>
      </c>
      <c r="E2" s="2">
        <v>20</v>
      </c>
      <c r="F2" s="2">
        <v>4.2</v>
      </c>
      <c r="G2" s="2"/>
      <c r="H2" s="2" t="s">
        <v>473</v>
      </c>
    </row>
    <row r="3" spans="1:8" x14ac:dyDescent="0.2">
      <c r="A3" s="2">
        <v>2</v>
      </c>
      <c r="B3" s="2" t="s">
        <v>144</v>
      </c>
      <c r="C3" s="2">
        <v>301</v>
      </c>
      <c r="D3" s="2">
        <v>5</v>
      </c>
      <c r="E3" s="2">
        <v>5</v>
      </c>
      <c r="F3" s="2">
        <v>28</v>
      </c>
      <c r="G3" s="2"/>
      <c r="H3" s="2" t="s">
        <v>474</v>
      </c>
    </row>
    <row r="4" spans="1:8" x14ac:dyDescent="0.2">
      <c r="A4" s="2">
        <v>3</v>
      </c>
      <c r="B4" s="2" t="s">
        <v>144</v>
      </c>
      <c r="C4" s="2">
        <v>302</v>
      </c>
      <c r="D4" s="2">
        <v>4</v>
      </c>
      <c r="E4" s="2">
        <v>4</v>
      </c>
      <c r="F4" s="2">
        <v>22</v>
      </c>
      <c r="G4" s="2"/>
      <c r="H4" s="2" t="s">
        <v>468</v>
      </c>
    </row>
    <row r="5" spans="1:8" x14ac:dyDescent="0.2">
      <c r="A5" s="2">
        <v>4</v>
      </c>
      <c r="B5" s="2" t="s">
        <v>144</v>
      </c>
      <c r="C5" s="2">
        <v>601</v>
      </c>
      <c r="D5" s="2">
        <v>5</v>
      </c>
      <c r="E5" s="2">
        <v>5</v>
      </c>
      <c r="F5" s="2">
        <v>22</v>
      </c>
      <c r="G5" s="2"/>
      <c r="H5" s="2" t="s">
        <v>475</v>
      </c>
    </row>
    <row r="6" spans="1:8" x14ac:dyDescent="0.2">
      <c r="A6" s="2">
        <v>5</v>
      </c>
      <c r="B6" s="2" t="s">
        <v>145</v>
      </c>
      <c r="C6" s="2">
        <v>101</v>
      </c>
      <c r="D6" s="2">
        <v>8</v>
      </c>
      <c r="E6" s="2">
        <v>8</v>
      </c>
      <c r="F6" s="2">
        <v>72</v>
      </c>
      <c r="G6" s="2"/>
      <c r="H6" s="2" t="s">
        <v>437</v>
      </c>
    </row>
    <row r="7" spans="1:8" x14ac:dyDescent="0.2">
      <c r="A7" s="2">
        <v>6</v>
      </c>
      <c r="B7" s="2" t="s">
        <v>145</v>
      </c>
      <c r="C7" s="2">
        <v>102</v>
      </c>
      <c r="D7" s="2">
        <v>6</v>
      </c>
      <c r="E7" s="2">
        <v>6</v>
      </c>
      <c r="F7" s="2">
        <v>98</v>
      </c>
      <c r="G7" s="2"/>
      <c r="H7" s="2" t="s">
        <v>438</v>
      </c>
    </row>
    <row r="8" spans="1:8" x14ac:dyDescent="0.2">
      <c r="A8" s="2">
        <v>7</v>
      </c>
      <c r="B8" s="2" t="s">
        <v>146</v>
      </c>
      <c r="C8" s="2">
        <v>401</v>
      </c>
      <c r="D8" s="2">
        <v>4</v>
      </c>
      <c r="E8" s="2">
        <v>0</v>
      </c>
      <c r="F8" s="2">
        <v>38</v>
      </c>
      <c r="G8" s="2"/>
      <c r="H8" s="2" t="s">
        <v>439</v>
      </c>
    </row>
    <row r="9" spans="1:8" x14ac:dyDescent="0.2">
      <c r="A9" s="2">
        <v>8</v>
      </c>
      <c r="B9" s="2" t="s">
        <v>146</v>
      </c>
      <c r="C9" s="2">
        <v>402</v>
      </c>
      <c r="D9" s="2">
        <v>3</v>
      </c>
      <c r="E9" s="2">
        <v>0</v>
      </c>
      <c r="F9" s="2">
        <v>24</v>
      </c>
      <c r="G9" s="2"/>
      <c r="H9" s="2" t="s">
        <v>440</v>
      </c>
    </row>
    <row r="10" spans="1:8" x14ac:dyDescent="0.2">
      <c r="A10" s="2">
        <v>9</v>
      </c>
      <c r="B10" s="2" t="s">
        <v>147</v>
      </c>
      <c r="C10" s="2">
        <v>501</v>
      </c>
      <c r="D10" s="2">
        <v>3</v>
      </c>
      <c r="E10" s="2">
        <v>0</v>
      </c>
      <c r="F10" s="2">
        <v>145</v>
      </c>
      <c r="G10" s="2"/>
      <c r="H10" s="2" t="s">
        <v>441</v>
      </c>
    </row>
    <row r="11" spans="1:8" x14ac:dyDescent="0.2">
      <c r="A11" s="2">
        <v>10</v>
      </c>
      <c r="B11" s="2" t="s">
        <v>147</v>
      </c>
      <c r="C11" s="2">
        <v>502</v>
      </c>
      <c r="D11" s="2">
        <v>4</v>
      </c>
      <c r="E11" s="2">
        <v>0</v>
      </c>
      <c r="F11" s="2">
        <v>28</v>
      </c>
      <c r="G11" s="2"/>
      <c r="H11" s="2" t="s">
        <v>442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99"/>
  <sheetViews>
    <sheetView showGridLines="0" workbookViewId="0">
      <selection sqref="A1:XFD1"/>
    </sheetView>
  </sheetViews>
  <sheetFormatPr baseColWidth="10" defaultColWidth="9.1640625" defaultRowHeight="15" x14ac:dyDescent="0.2"/>
  <cols>
    <col min="1" max="1" width="11.33203125" bestFit="1" customWidth="1"/>
    <col min="2" max="2" width="10" bestFit="1" customWidth="1"/>
    <col min="3" max="3" width="6.6640625" bestFit="1" customWidth="1"/>
    <col min="4" max="4" width="15.1640625" bestFit="1" customWidth="1"/>
    <col min="5" max="6" width="8.83203125" bestFit="1" customWidth="1"/>
    <col min="7" max="7" width="6.6640625" bestFit="1" customWidth="1"/>
    <col min="8" max="8" width="9.6640625" bestFit="1" customWidth="1"/>
    <col min="9" max="9" width="5" bestFit="1" customWidth="1"/>
    <col min="10" max="10" width="11.6640625" bestFit="1" customWidth="1"/>
    <col min="11" max="11" width="10.6640625" customWidth="1"/>
    <col min="12" max="12" width="12.83203125" bestFit="1" customWidth="1"/>
    <col min="13" max="13" width="25" bestFit="1" customWidth="1"/>
    <col min="14" max="14" width="9.5" bestFit="1" customWidth="1"/>
    <col min="15" max="15" width="10" bestFit="1" customWidth="1"/>
    <col min="16" max="16" width="11.6640625" bestFit="1" customWidth="1"/>
    <col min="17" max="17" width="17.33203125" bestFit="1" customWidth="1"/>
  </cols>
  <sheetData>
    <row r="1" spans="1:17" ht="30" x14ac:dyDescent="0.2">
      <c r="A1" s="3" t="s">
        <v>443</v>
      </c>
      <c r="B1" s="3" t="s">
        <v>418</v>
      </c>
      <c r="C1" s="3" t="s">
        <v>299</v>
      </c>
      <c r="D1" s="3" t="s">
        <v>444</v>
      </c>
      <c r="E1" s="3" t="s">
        <v>400</v>
      </c>
      <c r="F1" s="3" t="s">
        <v>401</v>
      </c>
      <c r="G1" s="3" t="s">
        <v>402</v>
      </c>
      <c r="H1" s="3" t="s">
        <v>403</v>
      </c>
      <c r="I1" s="3" t="s">
        <v>404</v>
      </c>
      <c r="J1" s="3" t="s">
        <v>405</v>
      </c>
      <c r="K1" s="3" t="s">
        <v>406</v>
      </c>
      <c r="L1" s="3" t="s">
        <v>407</v>
      </c>
      <c r="M1" s="3" t="s">
        <v>193</v>
      </c>
      <c r="N1" s="29" t="s">
        <v>445</v>
      </c>
      <c r="O1" s="29" t="s">
        <v>360</v>
      </c>
      <c r="P1" s="29" t="s">
        <v>446</v>
      </c>
      <c r="Q1" s="29" t="s">
        <v>447</v>
      </c>
    </row>
    <row r="2" spans="1:17" x14ac:dyDescent="0.2">
      <c r="A2" s="5" t="s">
        <v>148</v>
      </c>
      <c r="B2" s="5" t="s">
        <v>144</v>
      </c>
      <c r="C2" s="5">
        <v>1001</v>
      </c>
      <c r="D2" s="5" t="s">
        <v>149</v>
      </c>
      <c r="E2" s="6">
        <v>46083</v>
      </c>
      <c r="F2" s="6">
        <v>46113</v>
      </c>
      <c r="G2" s="5">
        <v>287.19</v>
      </c>
      <c r="H2" s="5">
        <v>60.31</v>
      </c>
      <c r="I2" s="5">
        <v>347.5</v>
      </c>
      <c r="J2" s="5" t="s">
        <v>448</v>
      </c>
      <c r="K2" s="6">
        <v>46112</v>
      </c>
      <c r="L2" s="5" t="s">
        <v>142</v>
      </c>
      <c r="M2" s="5" t="s">
        <v>150</v>
      </c>
      <c r="N2" s="28" t="s">
        <v>159</v>
      </c>
      <c r="O2" s="28">
        <v>503</v>
      </c>
      <c r="P2" s="28" t="s">
        <v>466</v>
      </c>
      <c r="Q2" s="28" t="s">
        <v>160</v>
      </c>
    </row>
    <row r="3" spans="1:17" x14ac:dyDescent="0.2">
      <c r="A3" s="5" t="s">
        <v>151</v>
      </c>
      <c r="B3" s="5" t="s">
        <v>145</v>
      </c>
      <c r="C3" s="5">
        <v>1003</v>
      </c>
      <c r="D3" s="5" t="s">
        <v>152</v>
      </c>
      <c r="E3" s="6">
        <v>46085</v>
      </c>
      <c r="F3" s="6">
        <v>46130</v>
      </c>
      <c r="G3" s="5">
        <v>971.9</v>
      </c>
      <c r="H3" s="5">
        <v>204.1</v>
      </c>
      <c r="I3" s="5">
        <v>1176</v>
      </c>
      <c r="J3" s="5" t="s">
        <v>376</v>
      </c>
      <c r="K3" s="5"/>
      <c r="L3" s="5" t="s">
        <v>142</v>
      </c>
      <c r="M3" s="5" t="s">
        <v>153</v>
      </c>
      <c r="N3" s="28" t="s">
        <v>159</v>
      </c>
      <c r="O3" s="28">
        <v>503</v>
      </c>
      <c r="P3" s="28" t="s">
        <v>466</v>
      </c>
      <c r="Q3" s="28" t="s">
        <v>160</v>
      </c>
    </row>
    <row r="4" spans="1:17" x14ac:dyDescent="0.2">
      <c r="A4" s="5" t="s">
        <v>154</v>
      </c>
      <c r="B4" s="5" t="s">
        <v>146</v>
      </c>
      <c r="C4" s="5">
        <v>1004</v>
      </c>
      <c r="D4" s="5" t="s">
        <v>155</v>
      </c>
      <c r="E4" s="5"/>
      <c r="F4" s="5"/>
      <c r="G4" s="5"/>
      <c r="H4" s="5"/>
      <c r="I4" s="5"/>
      <c r="J4" s="5" t="s">
        <v>449</v>
      </c>
      <c r="K4" s="5"/>
      <c r="L4" s="5"/>
      <c r="M4" s="5" t="s">
        <v>450</v>
      </c>
      <c r="N4" s="28" t="s">
        <v>158</v>
      </c>
      <c r="O4" s="28"/>
      <c r="P4" s="28" t="s">
        <v>466</v>
      </c>
      <c r="Q4" s="28" t="s">
        <v>431</v>
      </c>
    </row>
    <row r="5" spans="1:17" x14ac:dyDescent="0.2">
      <c r="A5" s="5" t="s">
        <v>156</v>
      </c>
      <c r="B5" s="5" t="s">
        <v>147</v>
      </c>
      <c r="C5" s="5">
        <v>1005</v>
      </c>
      <c r="D5" s="5" t="s">
        <v>157</v>
      </c>
      <c r="E5" s="5"/>
      <c r="F5" s="5"/>
      <c r="G5" s="5"/>
      <c r="H5" s="5"/>
      <c r="I5" s="5"/>
      <c r="J5" s="5" t="s">
        <v>449</v>
      </c>
      <c r="K5" s="5"/>
      <c r="L5" s="5"/>
      <c r="M5" s="5" t="s">
        <v>450</v>
      </c>
      <c r="N5" s="28" t="s">
        <v>158</v>
      </c>
      <c r="O5" s="28"/>
      <c r="P5" s="28" t="s">
        <v>466</v>
      </c>
      <c r="Q5" s="28" t="s">
        <v>431</v>
      </c>
    </row>
    <row r="6" spans="1:17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</sheetData>
  <conditionalFormatting sqref="Q2:Q5">
    <cfRule type="expression" dxfId="1" priority="1">
      <formula>Q2&lt;&gt;"OK"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99"/>
  <sheetViews>
    <sheetView showGridLines="0" workbookViewId="0">
      <selection sqref="A1:XFD1"/>
    </sheetView>
  </sheetViews>
  <sheetFormatPr baseColWidth="10" defaultColWidth="9.1640625" defaultRowHeight="15" x14ac:dyDescent="0.2"/>
  <cols>
    <col min="1" max="1" width="11.6640625" bestFit="1" customWidth="1"/>
    <col min="2" max="2" width="12.1640625" bestFit="1" customWidth="1"/>
    <col min="3" max="3" width="8.1640625" bestFit="1" customWidth="1"/>
    <col min="4" max="5" width="12.33203125" bestFit="1" customWidth="1"/>
    <col min="6" max="6" width="10.5" bestFit="1" customWidth="1"/>
    <col min="7" max="7" width="12.83203125" bestFit="1" customWidth="1"/>
    <col min="8" max="8" width="11.1640625" bestFit="1" customWidth="1"/>
    <col min="9" max="9" width="10.5" bestFit="1" customWidth="1"/>
    <col min="10" max="10" width="9.6640625" bestFit="1" customWidth="1"/>
    <col min="11" max="11" width="10" bestFit="1" customWidth="1"/>
    <col min="12" max="12" width="15.6640625" bestFit="1" customWidth="1"/>
  </cols>
  <sheetData>
    <row r="1" spans="1:17" ht="30" x14ac:dyDescent="0.2">
      <c r="A1" s="29" t="s">
        <v>451</v>
      </c>
      <c r="B1" s="29" t="s">
        <v>452</v>
      </c>
      <c r="C1" s="29" t="s">
        <v>317</v>
      </c>
      <c r="D1" s="29" t="s">
        <v>453</v>
      </c>
      <c r="E1" s="29" t="s">
        <v>454</v>
      </c>
      <c r="F1" s="29" t="s">
        <v>436</v>
      </c>
      <c r="G1" s="29" t="s">
        <v>455</v>
      </c>
      <c r="H1" s="29" t="s">
        <v>456</v>
      </c>
      <c r="I1" s="29" t="s">
        <v>457</v>
      </c>
      <c r="J1" s="29" t="s">
        <v>218</v>
      </c>
      <c r="K1" s="29" t="s">
        <v>360</v>
      </c>
      <c r="L1" s="29" t="s">
        <v>458</v>
      </c>
      <c r="M1" s="1"/>
      <c r="N1" s="1"/>
      <c r="O1" s="1"/>
      <c r="P1" s="1"/>
      <c r="Q1" s="1"/>
    </row>
    <row r="2" spans="1:17" ht="30" x14ac:dyDescent="0.2">
      <c r="A2" s="28" t="s">
        <v>165</v>
      </c>
      <c r="B2" s="31">
        <v>46082</v>
      </c>
      <c r="C2" s="28">
        <v>201</v>
      </c>
      <c r="D2" s="28" t="s">
        <v>166</v>
      </c>
      <c r="E2" s="28">
        <v>-2</v>
      </c>
      <c r="F2" s="32">
        <v>4.2</v>
      </c>
      <c r="G2" s="32">
        <v>-8.4</v>
      </c>
      <c r="H2" s="28" t="s">
        <v>131</v>
      </c>
      <c r="I2" s="28"/>
      <c r="J2" s="28">
        <v>301</v>
      </c>
      <c r="K2" s="28">
        <v>2</v>
      </c>
      <c r="L2" s="28" t="s">
        <v>167</v>
      </c>
      <c r="M2" s="1"/>
      <c r="N2" s="1"/>
      <c r="O2" s="1"/>
      <c r="P2" s="1"/>
      <c r="Q2" s="1"/>
    </row>
    <row r="3" spans="1:17" ht="30" x14ac:dyDescent="0.2">
      <c r="A3" s="28" t="s">
        <v>168</v>
      </c>
      <c r="B3" s="31">
        <v>46082</v>
      </c>
      <c r="C3" s="28">
        <v>302</v>
      </c>
      <c r="D3" s="28" t="s">
        <v>166</v>
      </c>
      <c r="E3" s="28">
        <v>-1</v>
      </c>
      <c r="F3" s="32">
        <v>22</v>
      </c>
      <c r="G3" s="32">
        <v>-22</v>
      </c>
      <c r="H3" s="28" t="s">
        <v>131</v>
      </c>
      <c r="I3" s="28"/>
      <c r="J3" s="28">
        <v>303</v>
      </c>
      <c r="K3" s="28">
        <v>2</v>
      </c>
      <c r="L3" s="28" t="s">
        <v>169</v>
      </c>
      <c r="M3" s="1"/>
      <c r="N3" s="1"/>
      <c r="O3" s="1"/>
      <c r="P3" s="1"/>
      <c r="Q3" s="1"/>
    </row>
    <row r="4" spans="1:17" ht="30" x14ac:dyDescent="0.2">
      <c r="A4" s="28" t="s">
        <v>170</v>
      </c>
      <c r="B4" s="31">
        <v>46082</v>
      </c>
      <c r="C4" s="28">
        <v>601</v>
      </c>
      <c r="D4" s="28" t="s">
        <v>166</v>
      </c>
      <c r="E4" s="28">
        <v>-4</v>
      </c>
      <c r="F4" s="32">
        <v>22</v>
      </c>
      <c r="G4" s="32">
        <v>-88</v>
      </c>
      <c r="H4" s="28" t="s">
        <v>131</v>
      </c>
      <c r="I4" s="28"/>
      <c r="J4" s="28">
        <v>301</v>
      </c>
      <c r="K4" s="28">
        <v>2</v>
      </c>
      <c r="L4" s="28" t="s">
        <v>171</v>
      </c>
      <c r="M4" s="1"/>
      <c r="N4" s="1"/>
      <c r="O4" s="1"/>
      <c r="P4" s="1"/>
      <c r="Q4" s="1"/>
    </row>
    <row r="5" spans="1:17" ht="30" x14ac:dyDescent="0.2">
      <c r="A5" s="28" t="s">
        <v>172</v>
      </c>
      <c r="B5" s="31">
        <v>46083</v>
      </c>
      <c r="C5" s="28">
        <v>201</v>
      </c>
      <c r="D5" s="28" t="s">
        <v>173</v>
      </c>
      <c r="E5" s="28">
        <v>40</v>
      </c>
      <c r="F5" s="32">
        <v>4.2</v>
      </c>
      <c r="G5" s="32">
        <v>168</v>
      </c>
      <c r="H5" s="28"/>
      <c r="I5" s="28" t="s">
        <v>144</v>
      </c>
      <c r="J5" s="28">
        <v>504</v>
      </c>
      <c r="K5" s="28">
        <v>503</v>
      </c>
      <c r="L5" s="28" t="s">
        <v>459</v>
      </c>
      <c r="M5" s="1"/>
      <c r="N5" s="1"/>
      <c r="O5" s="1"/>
      <c r="P5" s="1"/>
      <c r="Q5" s="1"/>
    </row>
    <row r="6" spans="1:17" x14ac:dyDescent="0.2">
      <c r="A6" s="28" t="s">
        <v>174</v>
      </c>
      <c r="B6" s="31">
        <v>46085</v>
      </c>
      <c r="C6" s="28">
        <v>101</v>
      </c>
      <c r="D6" s="28" t="s">
        <v>173</v>
      </c>
      <c r="E6" s="28">
        <v>12</v>
      </c>
      <c r="F6" s="32">
        <v>72</v>
      </c>
      <c r="G6" s="32">
        <v>864</v>
      </c>
      <c r="H6" s="28"/>
      <c r="I6" s="28" t="s">
        <v>145</v>
      </c>
      <c r="J6" s="28">
        <v>504</v>
      </c>
      <c r="K6" s="28">
        <v>503</v>
      </c>
      <c r="L6" s="28" t="s">
        <v>460</v>
      </c>
      <c r="M6" s="1"/>
      <c r="N6" s="1"/>
      <c r="O6" s="1"/>
      <c r="P6" s="1"/>
      <c r="Q6" s="1"/>
    </row>
    <row r="7" spans="1:17" x14ac:dyDescent="0.2">
      <c r="A7" s="28" t="s">
        <v>175</v>
      </c>
      <c r="B7" s="31">
        <v>46096</v>
      </c>
      <c r="C7" s="28">
        <v>401</v>
      </c>
      <c r="D7" s="28" t="s">
        <v>166</v>
      </c>
      <c r="E7" s="28">
        <v>-1</v>
      </c>
      <c r="F7" s="32">
        <v>38</v>
      </c>
      <c r="G7" s="32">
        <v>-38</v>
      </c>
      <c r="H7" s="28" t="s">
        <v>134</v>
      </c>
      <c r="I7" s="28"/>
      <c r="J7" s="28">
        <v>306</v>
      </c>
      <c r="K7" s="28">
        <v>2</v>
      </c>
      <c r="L7" s="28" t="s">
        <v>398</v>
      </c>
      <c r="M7" s="1"/>
      <c r="N7" s="1"/>
      <c r="O7" s="1"/>
      <c r="P7" s="1"/>
      <c r="Q7" s="1"/>
    </row>
    <row r="8" spans="1:17" ht="30" x14ac:dyDescent="0.2">
      <c r="A8" s="28" t="s">
        <v>176</v>
      </c>
      <c r="B8" s="31">
        <v>46097</v>
      </c>
      <c r="C8" s="28">
        <v>402</v>
      </c>
      <c r="D8" s="28" t="s">
        <v>166</v>
      </c>
      <c r="E8" s="28">
        <v>-1</v>
      </c>
      <c r="F8" s="32">
        <v>24</v>
      </c>
      <c r="G8" s="32">
        <v>-24</v>
      </c>
      <c r="H8" s="28" t="s">
        <v>134</v>
      </c>
      <c r="I8" s="28"/>
      <c r="J8" s="28">
        <v>306</v>
      </c>
      <c r="K8" s="28">
        <v>2</v>
      </c>
      <c r="L8" s="28" t="s">
        <v>461</v>
      </c>
      <c r="M8" s="1"/>
      <c r="N8" s="1"/>
      <c r="O8" s="1"/>
      <c r="P8" s="1"/>
      <c r="Q8" s="1"/>
    </row>
    <row r="9" spans="1:17" ht="45" x14ac:dyDescent="0.2">
      <c r="A9" s="28" t="s">
        <v>177</v>
      </c>
      <c r="B9" s="31">
        <v>46098</v>
      </c>
      <c r="C9" s="28">
        <v>302</v>
      </c>
      <c r="D9" s="28" t="s">
        <v>462</v>
      </c>
      <c r="E9" s="28">
        <v>-1</v>
      </c>
      <c r="F9" s="32">
        <v>22</v>
      </c>
      <c r="G9" s="32">
        <v>-22</v>
      </c>
      <c r="H9" s="28"/>
      <c r="I9" s="28"/>
      <c r="J9" s="28">
        <v>504</v>
      </c>
      <c r="K9" s="28"/>
      <c r="L9" s="28" t="s">
        <v>463</v>
      </c>
      <c r="M9" s="1"/>
      <c r="N9" s="1"/>
      <c r="O9" s="1"/>
      <c r="P9" s="1"/>
      <c r="Q9" s="1"/>
    </row>
    <row r="10" spans="1:17" ht="30" x14ac:dyDescent="0.2">
      <c r="A10" s="28" t="s">
        <v>178</v>
      </c>
      <c r="B10" s="31">
        <v>46100</v>
      </c>
      <c r="C10" s="28">
        <v>601</v>
      </c>
      <c r="D10" s="28" t="s">
        <v>464</v>
      </c>
      <c r="E10" s="28">
        <v>-1</v>
      </c>
      <c r="F10" s="32">
        <v>22</v>
      </c>
      <c r="G10" s="32">
        <v>-22</v>
      </c>
      <c r="H10" s="28"/>
      <c r="I10" s="28"/>
      <c r="J10" s="28">
        <v>504</v>
      </c>
      <c r="K10" s="28"/>
      <c r="L10" s="28" t="s">
        <v>179</v>
      </c>
      <c r="M10" s="1"/>
      <c r="N10" s="1"/>
      <c r="O10" s="1"/>
      <c r="P10" s="1"/>
      <c r="Q10" s="1"/>
    </row>
    <row r="11" spans="1:17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</sheetData>
  <conditionalFormatting sqref="K2:K99">
    <cfRule type="expression" dxfId="0" priority="1">
      <formula>AND(OR(D2="Ajuste",D2="Merma"),K2="")</formula>
    </cfRule>
  </conditionalFormatting>
  <dataValidations count="1">
    <dataValidation type="list" sqref="D2:D99" xr:uid="{00000000-0002-0000-0D00-000000000000}">
      <formula1>"Entrada_PO,Salida_OT,Ajuste,Merma,Devolución"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0191-7A09-E24C-AAAF-EFA87764342B}">
  <dimension ref="A1:L6"/>
  <sheetViews>
    <sheetView tabSelected="1" workbookViewId="0">
      <selection activeCell="H31" sqref="H31"/>
    </sheetView>
  </sheetViews>
  <sheetFormatPr baseColWidth="10" defaultRowHeight="15" x14ac:dyDescent="0.2"/>
  <cols>
    <col min="1" max="1" width="8" bestFit="1" customWidth="1"/>
    <col min="2" max="2" width="10.1640625" bestFit="1" customWidth="1"/>
    <col min="3" max="3" width="11.33203125" bestFit="1" customWidth="1"/>
    <col min="4" max="4" width="8.5" bestFit="1" customWidth="1"/>
    <col min="5" max="5" width="8.1640625" bestFit="1" customWidth="1"/>
    <col min="6" max="6" width="13.5" bestFit="1" customWidth="1"/>
    <col min="7" max="7" width="10.5" bestFit="1" customWidth="1"/>
    <col min="8" max="8" width="11" bestFit="1" customWidth="1"/>
    <col min="9" max="9" width="9.5" bestFit="1" customWidth="1"/>
    <col min="10" max="10" width="15.6640625" bestFit="1" customWidth="1"/>
    <col min="11" max="11" width="14.5" bestFit="1" customWidth="1"/>
    <col min="12" max="12" width="32.83203125" bestFit="1" customWidth="1"/>
  </cols>
  <sheetData>
    <row r="1" spans="1:12" ht="16" thickBot="1" x14ac:dyDescent="0.25">
      <c r="A1" s="41" t="s">
        <v>478</v>
      </c>
      <c r="B1" s="41" t="s">
        <v>479</v>
      </c>
      <c r="C1" s="41" t="s">
        <v>418</v>
      </c>
      <c r="D1" s="41" t="s">
        <v>299</v>
      </c>
      <c r="E1" s="41" t="s">
        <v>317</v>
      </c>
      <c r="F1" s="41" t="s">
        <v>480</v>
      </c>
      <c r="G1" s="41" t="s">
        <v>436</v>
      </c>
      <c r="H1" s="41" t="s">
        <v>481</v>
      </c>
      <c r="I1" s="41" t="s">
        <v>482</v>
      </c>
      <c r="J1" s="41" t="s">
        <v>483</v>
      </c>
      <c r="K1" s="41" t="s">
        <v>351</v>
      </c>
      <c r="L1" s="41" t="s">
        <v>193</v>
      </c>
    </row>
    <row r="2" spans="1:12" x14ac:dyDescent="0.2">
      <c r="A2" s="35" t="s">
        <v>496</v>
      </c>
      <c r="B2" s="36">
        <v>46083</v>
      </c>
      <c r="C2" s="35" t="s">
        <v>144</v>
      </c>
      <c r="D2" s="35">
        <v>1001</v>
      </c>
      <c r="E2" s="35">
        <v>201</v>
      </c>
      <c r="F2" s="35">
        <v>20</v>
      </c>
      <c r="G2" s="37">
        <v>4.2</v>
      </c>
      <c r="H2" s="37">
        <f>F2*G2</f>
        <v>84</v>
      </c>
      <c r="I2" s="35">
        <v>503</v>
      </c>
      <c r="J2" s="35" t="s">
        <v>497</v>
      </c>
      <c r="K2" s="35" t="s">
        <v>498</v>
      </c>
      <c r="L2" s="35" t="s">
        <v>499</v>
      </c>
    </row>
    <row r="3" spans="1:12" x14ac:dyDescent="0.2">
      <c r="A3" s="38" t="s">
        <v>500</v>
      </c>
      <c r="B3" s="39">
        <v>46083</v>
      </c>
      <c r="C3" s="38" t="s">
        <v>144</v>
      </c>
      <c r="D3" s="38">
        <v>1001</v>
      </c>
      <c r="E3" s="38">
        <v>301</v>
      </c>
      <c r="F3" s="38">
        <v>5</v>
      </c>
      <c r="G3" s="40">
        <v>28</v>
      </c>
      <c r="H3" s="40">
        <f>F3*G3</f>
        <v>140</v>
      </c>
      <c r="I3" s="38">
        <v>503</v>
      </c>
      <c r="J3" s="38" t="s">
        <v>497</v>
      </c>
      <c r="K3" s="38" t="s">
        <v>498</v>
      </c>
      <c r="L3" s="38" t="s">
        <v>501</v>
      </c>
    </row>
    <row r="4" spans="1:12" x14ac:dyDescent="0.2">
      <c r="A4" s="38" t="s">
        <v>502</v>
      </c>
      <c r="B4" s="39">
        <v>46085</v>
      </c>
      <c r="C4" s="38" t="s">
        <v>145</v>
      </c>
      <c r="D4" s="38">
        <v>1003</v>
      </c>
      <c r="E4" s="38">
        <v>101</v>
      </c>
      <c r="F4" s="38">
        <v>8</v>
      </c>
      <c r="G4" s="40">
        <v>72</v>
      </c>
      <c r="H4" s="40">
        <f>F4*G4</f>
        <v>576</v>
      </c>
      <c r="I4" s="38">
        <v>503</v>
      </c>
      <c r="J4" s="38" t="s">
        <v>503</v>
      </c>
      <c r="K4" s="38" t="s">
        <v>498</v>
      </c>
      <c r="L4" s="38" t="s">
        <v>504</v>
      </c>
    </row>
    <row r="5" spans="1:12" x14ac:dyDescent="0.2">
      <c r="A5" s="38" t="s">
        <v>505</v>
      </c>
      <c r="B5" s="39">
        <v>46094</v>
      </c>
      <c r="C5" s="38" t="s">
        <v>146</v>
      </c>
      <c r="D5" s="38">
        <v>1004</v>
      </c>
      <c r="E5" s="38">
        <v>401</v>
      </c>
      <c r="F5" s="38">
        <v>4</v>
      </c>
      <c r="G5" s="40">
        <v>38</v>
      </c>
      <c r="H5" s="40">
        <f>F5*G5</f>
        <v>152</v>
      </c>
      <c r="I5" s="38">
        <v>503</v>
      </c>
      <c r="J5" s="38" t="s">
        <v>506</v>
      </c>
      <c r="K5" s="38" t="s">
        <v>507</v>
      </c>
      <c r="L5" s="38" t="s">
        <v>508</v>
      </c>
    </row>
    <row r="6" spans="1:12" x14ac:dyDescent="0.2">
      <c r="A6" s="42" t="s">
        <v>509</v>
      </c>
      <c r="B6" s="43">
        <v>46103</v>
      </c>
      <c r="C6" s="42" t="s">
        <v>147</v>
      </c>
      <c r="D6" s="42">
        <v>1005</v>
      </c>
      <c r="E6" s="42">
        <v>501</v>
      </c>
      <c r="F6" s="42">
        <v>3</v>
      </c>
      <c r="G6" s="44">
        <v>145</v>
      </c>
      <c r="H6" s="44">
        <f>F6*G6</f>
        <v>435</v>
      </c>
      <c r="I6" s="42">
        <v>503</v>
      </c>
      <c r="J6" s="42" t="s">
        <v>510</v>
      </c>
      <c r="K6" s="42" t="s">
        <v>511</v>
      </c>
      <c r="L6" s="42" t="s">
        <v>512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4E09-C55F-504A-BF60-6126F78F06A7}">
  <dimension ref="A1:N5"/>
  <sheetViews>
    <sheetView tabSelected="1" workbookViewId="0">
      <selection activeCell="H31" sqref="H31"/>
    </sheetView>
  </sheetViews>
  <sheetFormatPr baseColWidth="10" defaultRowHeight="15" x14ac:dyDescent="0.2"/>
  <cols>
    <col min="1" max="1" width="8.33203125" bestFit="1" customWidth="1"/>
    <col min="2" max="2" width="11.33203125" bestFit="1" customWidth="1"/>
    <col min="3" max="3" width="9.5" bestFit="1" customWidth="1"/>
    <col min="4" max="4" width="9.6640625" bestFit="1" customWidth="1"/>
    <col min="5" max="6" width="10.1640625" bestFit="1" customWidth="1"/>
    <col min="7" max="7" width="25.83203125" bestFit="1" customWidth="1"/>
    <col min="8" max="8" width="34.33203125" bestFit="1" customWidth="1"/>
    <col min="9" max="9" width="18.1640625" bestFit="1" customWidth="1"/>
    <col min="10" max="10" width="9.33203125" bestFit="1" customWidth="1"/>
    <col min="11" max="11" width="11.1640625" bestFit="1" customWidth="1"/>
    <col min="12" max="12" width="13.83203125" bestFit="1" customWidth="1"/>
    <col min="13" max="13" width="6.1640625" bestFit="1" customWidth="1"/>
    <col min="14" max="14" width="38.83203125" bestFit="1" customWidth="1"/>
  </cols>
  <sheetData>
    <row r="1" spans="1:14" ht="16" thickBot="1" x14ac:dyDescent="0.25">
      <c r="A1" s="41" t="s">
        <v>484</v>
      </c>
      <c r="B1" s="41" t="s">
        <v>485</v>
      </c>
      <c r="C1" s="41" t="s">
        <v>180</v>
      </c>
      <c r="D1" s="41" t="s">
        <v>486</v>
      </c>
      <c r="E1" s="41" t="s">
        <v>352</v>
      </c>
      <c r="F1" s="41" t="s">
        <v>356</v>
      </c>
      <c r="G1" s="41" t="s">
        <v>458</v>
      </c>
      <c r="H1" s="41" t="s">
        <v>487</v>
      </c>
      <c r="I1" s="41" t="s">
        <v>488</v>
      </c>
      <c r="J1" s="41" t="s">
        <v>489</v>
      </c>
      <c r="K1" s="41" t="s">
        <v>490</v>
      </c>
      <c r="L1" s="41" t="s">
        <v>491</v>
      </c>
      <c r="M1" s="34" t="s">
        <v>351</v>
      </c>
      <c r="N1" s="34" t="s">
        <v>193</v>
      </c>
    </row>
    <row r="2" spans="1:14" x14ac:dyDescent="0.2">
      <c r="A2" s="42" t="s">
        <v>513</v>
      </c>
      <c r="B2" s="42" t="s">
        <v>132</v>
      </c>
      <c r="C2" s="42">
        <v>2</v>
      </c>
      <c r="D2" s="42" t="s">
        <v>43</v>
      </c>
      <c r="E2" s="43">
        <v>46088</v>
      </c>
      <c r="F2" s="43">
        <v>46089</v>
      </c>
      <c r="G2" s="42" t="s">
        <v>514</v>
      </c>
      <c r="H2" s="42" t="s">
        <v>515</v>
      </c>
      <c r="I2" s="42">
        <v>3</v>
      </c>
      <c r="J2" s="45">
        <v>1.5</v>
      </c>
      <c r="K2" s="44">
        <v>0</v>
      </c>
      <c r="L2" s="42" t="s">
        <v>372</v>
      </c>
      <c r="M2" s="42" t="s">
        <v>365</v>
      </c>
      <c r="N2" s="42" t="s">
        <v>516</v>
      </c>
    </row>
    <row r="3" spans="1:14" x14ac:dyDescent="0.2">
      <c r="A3" s="38" t="s">
        <v>517</v>
      </c>
      <c r="B3" s="38" t="s">
        <v>134</v>
      </c>
      <c r="C3" s="38">
        <v>4</v>
      </c>
      <c r="D3" s="38" t="s">
        <v>53</v>
      </c>
      <c r="E3" s="39">
        <v>46105</v>
      </c>
      <c r="F3" s="39">
        <v>46106</v>
      </c>
      <c r="G3" s="38" t="s">
        <v>518</v>
      </c>
      <c r="H3" s="38" t="s">
        <v>519</v>
      </c>
      <c r="I3" s="38">
        <v>6</v>
      </c>
      <c r="J3" s="46">
        <v>2</v>
      </c>
      <c r="K3" s="40">
        <v>24</v>
      </c>
      <c r="L3" s="38" t="s">
        <v>372</v>
      </c>
      <c r="M3" s="38" t="s">
        <v>365</v>
      </c>
      <c r="N3" s="38" t="s">
        <v>520</v>
      </c>
    </row>
    <row r="4" spans="1:14" x14ac:dyDescent="0.2">
      <c r="A4" s="38" t="s">
        <v>521</v>
      </c>
      <c r="B4" s="38" t="s">
        <v>133</v>
      </c>
      <c r="C4" s="38">
        <v>3</v>
      </c>
      <c r="D4" s="38" t="s">
        <v>49</v>
      </c>
      <c r="E4" s="39">
        <v>46102</v>
      </c>
      <c r="F4" s="39"/>
      <c r="G4" s="38" t="s">
        <v>522</v>
      </c>
      <c r="H4" s="38" t="s">
        <v>523</v>
      </c>
      <c r="I4" s="38">
        <v>4</v>
      </c>
      <c r="J4" s="46">
        <v>0.8</v>
      </c>
      <c r="K4" s="40">
        <v>0</v>
      </c>
      <c r="L4" s="38" t="s">
        <v>372</v>
      </c>
      <c r="M4" s="38" t="s">
        <v>382</v>
      </c>
      <c r="N4" s="38" t="s">
        <v>524</v>
      </c>
    </row>
    <row r="5" spans="1:14" x14ac:dyDescent="0.2">
      <c r="A5" s="38" t="s">
        <v>525</v>
      </c>
      <c r="B5" s="38" t="s">
        <v>135</v>
      </c>
      <c r="C5" s="38">
        <v>5</v>
      </c>
      <c r="D5" s="38" t="s">
        <v>57</v>
      </c>
      <c r="E5" s="39">
        <v>46108</v>
      </c>
      <c r="F5" s="39">
        <v>46108</v>
      </c>
      <c r="G5" s="38" t="s">
        <v>526</v>
      </c>
      <c r="H5" s="38" t="s">
        <v>527</v>
      </c>
      <c r="I5" s="38">
        <v>7</v>
      </c>
      <c r="J5" s="46">
        <v>0.5</v>
      </c>
      <c r="K5" s="40">
        <v>0</v>
      </c>
      <c r="L5" s="38" t="s">
        <v>158</v>
      </c>
      <c r="M5" s="38" t="s">
        <v>365</v>
      </c>
      <c r="N5" s="38" t="s">
        <v>528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ED24-B04E-8F4B-97CE-8928E820EE58}">
  <dimension ref="A1:N5"/>
  <sheetViews>
    <sheetView tabSelected="1" workbookViewId="0">
      <selection activeCell="H31" sqref="H31"/>
    </sheetView>
  </sheetViews>
  <sheetFormatPr baseColWidth="10" defaultRowHeight="15" x14ac:dyDescent="0.2"/>
  <cols>
    <col min="1" max="1" width="13.83203125" bestFit="1" customWidth="1"/>
    <col min="2" max="2" width="17.6640625" bestFit="1" customWidth="1"/>
    <col min="3" max="3" width="10.33203125" bestFit="1" customWidth="1"/>
    <col min="4" max="5" width="10.83203125" bestFit="1" customWidth="1"/>
    <col min="6" max="6" width="26.1640625" bestFit="1" customWidth="1"/>
    <col min="7" max="7" width="20.83203125" bestFit="1" customWidth="1"/>
    <col min="8" max="8" width="21.1640625" bestFit="1" customWidth="1"/>
    <col min="9" max="9" width="8.83203125" bestFit="1" customWidth="1"/>
    <col min="10" max="10" width="6.5" bestFit="1" customWidth="1"/>
    <col min="11" max="11" width="15.5" bestFit="1" customWidth="1"/>
    <col min="12" max="12" width="28" bestFit="1" customWidth="1"/>
    <col min="13" max="13" width="5.33203125" bestFit="1" customWidth="1"/>
    <col min="14" max="14" width="25.5" bestFit="1" customWidth="1"/>
  </cols>
  <sheetData>
    <row r="1" spans="1:14" ht="16" thickBot="1" x14ac:dyDescent="0.25">
      <c r="A1" s="41" t="s">
        <v>492</v>
      </c>
      <c r="B1" s="41" t="s">
        <v>493</v>
      </c>
      <c r="C1" s="41" t="s">
        <v>182</v>
      </c>
      <c r="D1" s="41" t="s">
        <v>302</v>
      </c>
      <c r="E1" s="41" t="s">
        <v>186</v>
      </c>
      <c r="F1" s="41" t="s">
        <v>187</v>
      </c>
      <c r="G1" s="41" t="s">
        <v>188</v>
      </c>
      <c r="H1" s="41" t="s">
        <v>189</v>
      </c>
      <c r="I1" s="41" t="s">
        <v>190</v>
      </c>
      <c r="J1" s="41" t="s">
        <v>494</v>
      </c>
      <c r="K1" s="41" t="s">
        <v>191</v>
      </c>
      <c r="L1" s="41" t="s">
        <v>495</v>
      </c>
      <c r="M1" s="34" t="s">
        <v>224</v>
      </c>
      <c r="N1" s="34" t="s">
        <v>193</v>
      </c>
    </row>
    <row r="2" spans="1:14" x14ac:dyDescent="0.2">
      <c r="A2" s="42" t="s">
        <v>529</v>
      </c>
      <c r="B2" s="42" t="s">
        <v>530</v>
      </c>
      <c r="C2" s="42" t="s">
        <v>531</v>
      </c>
      <c r="D2" s="42" t="s">
        <v>532</v>
      </c>
      <c r="E2" s="42" t="s">
        <v>533</v>
      </c>
      <c r="F2" s="42" t="s">
        <v>534</v>
      </c>
      <c r="G2" s="42" t="s">
        <v>535</v>
      </c>
      <c r="H2" s="42" t="s">
        <v>7</v>
      </c>
      <c r="I2" s="42">
        <v>28046</v>
      </c>
      <c r="J2" s="42" t="s">
        <v>536</v>
      </c>
      <c r="K2" s="47">
        <v>60</v>
      </c>
      <c r="L2" s="42" t="s">
        <v>537</v>
      </c>
      <c r="M2" s="42" t="s">
        <v>372</v>
      </c>
      <c r="N2" s="42" t="s">
        <v>538</v>
      </c>
    </row>
    <row r="3" spans="1:14" x14ac:dyDescent="0.2">
      <c r="A3" s="38" t="s">
        <v>539</v>
      </c>
      <c r="B3" s="38" t="s">
        <v>540</v>
      </c>
      <c r="C3" s="38" t="s">
        <v>541</v>
      </c>
      <c r="D3" s="38" t="s">
        <v>542</v>
      </c>
      <c r="E3" s="38" t="s">
        <v>543</v>
      </c>
      <c r="F3" s="38" t="s">
        <v>544</v>
      </c>
      <c r="G3" s="38" t="s">
        <v>545</v>
      </c>
      <c r="H3" s="38" t="s">
        <v>7</v>
      </c>
      <c r="I3" s="38">
        <v>28014</v>
      </c>
      <c r="J3" s="38" t="s">
        <v>536</v>
      </c>
      <c r="K3" s="48">
        <v>45</v>
      </c>
      <c r="L3" s="38" t="s">
        <v>546</v>
      </c>
      <c r="M3" s="38" t="s">
        <v>372</v>
      </c>
      <c r="N3" s="38" t="s">
        <v>547</v>
      </c>
    </row>
    <row r="4" spans="1:14" x14ac:dyDescent="0.2">
      <c r="A4" s="38" t="s">
        <v>548</v>
      </c>
      <c r="B4" s="38" t="s">
        <v>549</v>
      </c>
      <c r="C4" s="38" t="s">
        <v>550</v>
      </c>
      <c r="D4" s="38" t="s">
        <v>551</v>
      </c>
      <c r="E4" s="38" t="s">
        <v>552</v>
      </c>
      <c r="F4" s="38" t="s">
        <v>553</v>
      </c>
      <c r="G4" s="38" t="s">
        <v>554</v>
      </c>
      <c r="H4" s="38" t="s">
        <v>23</v>
      </c>
      <c r="I4" s="38">
        <v>28108</v>
      </c>
      <c r="J4" s="38" t="s">
        <v>536</v>
      </c>
      <c r="K4" s="48">
        <v>75</v>
      </c>
      <c r="L4" s="38" t="s">
        <v>555</v>
      </c>
      <c r="M4" s="38" t="s">
        <v>372</v>
      </c>
      <c r="N4" s="38" t="s">
        <v>556</v>
      </c>
    </row>
    <row r="5" spans="1:14" x14ac:dyDescent="0.2">
      <c r="A5" s="38" t="s">
        <v>557</v>
      </c>
      <c r="B5" s="38" t="s">
        <v>558</v>
      </c>
      <c r="C5" s="38" t="s">
        <v>559</v>
      </c>
      <c r="D5" s="38" t="s">
        <v>560</v>
      </c>
      <c r="E5" s="38" t="s">
        <v>561</v>
      </c>
      <c r="F5" s="38" t="s">
        <v>562</v>
      </c>
      <c r="G5" s="38" t="s">
        <v>563</v>
      </c>
      <c r="H5" s="38" t="s">
        <v>16</v>
      </c>
      <c r="I5" s="38">
        <v>28710</v>
      </c>
      <c r="J5" s="38" t="s">
        <v>536</v>
      </c>
      <c r="K5" s="48">
        <v>30</v>
      </c>
      <c r="L5" s="38" t="s">
        <v>564</v>
      </c>
      <c r="M5" s="38" t="s">
        <v>158</v>
      </c>
      <c r="N5" s="38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Customers</vt:lpstr>
      <vt:lpstr>Vehicles</vt:lpstr>
      <vt:lpstr>Employees</vt:lpstr>
      <vt:lpstr>Service_Categories</vt:lpstr>
      <vt:lpstr>Services</vt:lpstr>
      <vt:lpstr>Suppliers</vt:lpstr>
      <vt:lpstr>Products</vt:lpstr>
      <vt:lpstr>Work_Orders</vt:lpstr>
      <vt:lpstr>WO_Lines</vt:lpstr>
      <vt:lpstr>Sales_Invoices</vt:lpstr>
      <vt:lpstr>Purchase_Orders</vt:lpstr>
      <vt:lpstr>PO_Lines</vt:lpstr>
      <vt:lpstr>Purchase_Invoices</vt:lpstr>
      <vt:lpstr>Inventory_Movements</vt:lpstr>
      <vt:lpstr>Goods_Receipts</vt:lpstr>
      <vt:lpstr>Rework</vt:lpstr>
      <vt:lpstr>Insurance_Entities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Izan Simarro Martin</cp:lastModifiedBy>
  <dcterms:modified xsi:type="dcterms:W3CDTF">2026-05-09T19:27:28Z</dcterms:modified>
</cp:coreProperties>
</file>